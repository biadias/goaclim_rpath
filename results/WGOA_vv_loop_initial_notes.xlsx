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adias\Documents\Rpath_fitting\results\"/>
    </mc:Choice>
  </mc:AlternateContent>
  <xr:revisionPtr revIDLastSave="0" documentId="13_ncr:1_{58EFAF15-2F36-449F-AA98-E4A317DD5607}" xr6:coauthVersionLast="47" xr6:coauthVersionMax="47" xr10:uidLastSave="{00000000-0000-0000-0000-000000000000}"/>
  <bookViews>
    <workbookView minimized="1" xWindow="5430" yWindow="75" windowWidth="21600" windowHeight="11160" activeTab="1" xr2:uid="{00000000-000D-0000-FFFF-FFFF00000000}"/>
  </bookViews>
  <sheets>
    <sheet name="WGOA_vv_loop_initial_notes" sheetId="1" r:id="rId1"/>
    <sheet name="sorted_dnll" sheetId="2" r:id="rId2"/>
    <sheet name="Sheet2" sheetId="4" r:id="rId3"/>
    <sheet name="Sheet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7" i="2" s="1"/>
  <c r="G89" i="2"/>
</calcChain>
</file>

<file path=xl/sharedStrings.xml><?xml version="1.0" encoding="utf-8"?>
<sst xmlns="http://schemas.openxmlformats.org/spreadsheetml/2006/main" count="618" uniqueCount="115">
  <si>
    <t>spnum</t>
  </si>
  <si>
    <t>preyvul</t>
  </si>
  <si>
    <t>predvul</t>
  </si>
  <si>
    <t>nll</t>
  </si>
  <si>
    <t>dnll</t>
  </si>
  <si>
    <t>nll_groupB</t>
  </si>
  <si>
    <t>dnll_groupB</t>
  </si>
  <si>
    <t>convergence</t>
  </si>
  <si>
    <t>Vprey</t>
  </si>
  <si>
    <t>Vpred</t>
  </si>
  <si>
    <t>transient_killer_whales</t>
  </si>
  <si>
    <t>resident_killer_whales</t>
  </si>
  <si>
    <t>offshore_killer_whales</t>
  </si>
  <si>
    <t>NA</t>
  </si>
  <si>
    <t>other_toothed_whales</t>
  </si>
  <si>
    <t>humpback_whale</t>
  </si>
  <si>
    <t>other_baleen_whales</t>
  </si>
  <si>
    <t>dolphins_porpoises</t>
  </si>
  <si>
    <t>northern_elephant_seal</t>
  </si>
  <si>
    <t>northern_fur_seal_adult</t>
  </si>
  <si>
    <t>northern_fur_seal_juvenile</t>
  </si>
  <si>
    <t>steller_sea_lion</t>
  </si>
  <si>
    <t>harbor_seal</t>
  </si>
  <si>
    <t>sea_otter</t>
  </si>
  <si>
    <t>piscivorous_surface_birds</t>
  </si>
  <si>
    <t>planktivorous_surface_birds</t>
  </si>
  <si>
    <t>piscivorous_diving_birds</t>
  </si>
  <si>
    <t>planktivorous_diving_birds</t>
  </si>
  <si>
    <t>salmon_returning</t>
  </si>
  <si>
    <t>salmon_outgoing</t>
  </si>
  <si>
    <t>pacific_hake</t>
  </si>
  <si>
    <t>pacific_herring_adult</t>
  </si>
  <si>
    <t>pacific_herring_juvenile</t>
  </si>
  <si>
    <t>pacific_sandlance</t>
  </si>
  <si>
    <t>pacific_capelin</t>
  </si>
  <si>
    <t>shelf_forage_fish</t>
  </si>
  <si>
    <t>slope_forage_fish</t>
  </si>
  <si>
    <t>pacific_dogfish</t>
  </si>
  <si>
    <t>salmon_shark</t>
  </si>
  <si>
    <t>pacific_sleeper_shark</t>
  </si>
  <si>
    <t>big_skate</t>
  </si>
  <si>
    <t>longnose_skate</t>
  </si>
  <si>
    <t>other_skates</t>
  </si>
  <si>
    <t>pacific_halibut_adult</t>
  </si>
  <si>
    <t>pacific_halibut_juvenile</t>
  </si>
  <si>
    <t>arrowtooth_flounder_adult</t>
  </si>
  <si>
    <t>arrowtooth_flounder_juvenile</t>
  </si>
  <si>
    <t>rex_sole_adult</t>
  </si>
  <si>
    <t>rex_sole_juvenile</t>
  </si>
  <si>
    <t>flathead_sole_adult</t>
  </si>
  <si>
    <t>flathead_sole_juvenile</t>
  </si>
  <si>
    <t>shallow_water_flatfish</t>
  </si>
  <si>
    <t>deep_water_flatfish</t>
  </si>
  <si>
    <t>pacific_ocean_perch_adult</t>
  </si>
  <si>
    <t>pacific_ocean_perch_juvenile</t>
  </si>
  <si>
    <t>slope_rockfish</t>
  </si>
  <si>
    <t>demersal_shelf_rockfish</t>
  </si>
  <si>
    <t>pelagic_shelf_rockfish</t>
  </si>
  <si>
    <t>thornyheads</t>
  </si>
  <si>
    <t>sablefish_adult</t>
  </si>
  <si>
    <t>sablefish_juvenile</t>
  </si>
  <si>
    <t>pacific_cod_adult</t>
  </si>
  <si>
    <t>pacific_cod_juvenile</t>
  </si>
  <si>
    <t>walleye_pollock_adult</t>
  </si>
  <si>
    <t>walleye_pollock_juvenile</t>
  </si>
  <si>
    <t>large_sculpins</t>
  </si>
  <si>
    <t>lingcod</t>
  </si>
  <si>
    <t>atka_mackerel</t>
  </si>
  <si>
    <t>shelf_demersal_fish</t>
  </si>
  <si>
    <t>slope_demersal_fish</t>
  </si>
  <si>
    <t>miscellaneous_deep_sea_fish</t>
  </si>
  <si>
    <t>squid</t>
  </si>
  <si>
    <t>octopus</t>
  </si>
  <si>
    <t>tanner_crab</t>
  </si>
  <si>
    <t>king_crab</t>
  </si>
  <si>
    <t>pandalid_shrimp</t>
  </si>
  <si>
    <t>nonpandalid_shrimp</t>
  </si>
  <si>
    <t>motile_epifauna</t>
  </si>
  <si>
    <t>benthic_zooplankton</t>
  </si>
  <si>
    <t>sessile_epifauna</t>
  </si>
  <si>
    <t>infauna</t>
  </si>
  <si>
    <t>gelatinous_carnivores</t>
  </si>
  <si>
    <t>other_gelatinous_zooplankton</t>
  </si>
  <si>
    <t>mysids</t>
  </si>
  <si>
    <t>pelagic_amphipods</t>
  </si>
  <si>
    <t>euphausiids</t>
  </si>
  <si>
    <t>large_copepods</t>
  </si>
  <si>
    <t>small_copepods</t>
  </si>
  <si>
    <t>large_microzooplankton</t>
  </si>
  <si>
    <t>small_microzooplankton</t>
  </si>
  <si>
    <t>large_phytoplankton</t>
  </si>
  <si>
    <t>small_phytoplankton</t>
  </si>
  <si>
    <t>macroalgae</t>
  </si>
  <si>
    <t>benthic_microbes</t>
  </si>
  <si>
    <t>discards</t>
  </si>
  <si>
    <t>offal</t>
  </si>
  <si>
    <t>detritus</t>
  </si>
  <si>
    <t xml:space="preserve">Total #time series for fitting </t>
  </si>
  <si>
    <t># groups fitting preyvul only</t>
  </si>
  <si>
    <t>Fit preyvuln only</t>
  </si>
  <si>
    <t>Benthic/Pelagic Flow</t>
  </si>
  <si>
    <t>Important Trophic flow</t>
  </si>
  <si>
    <t># Imp Trohpic Flow groups</t>
  </si>
  <si>
    <t>Make sure the 21 groups includes the 8 important to trophic flows</t>
  </si>
  <si>
    <t>((50-1)-6)/2=21</t>
  </si>
  <si>
    <t>GroupsToFit</t>
  </si>
  <si>
    <t># Total groups to fit pred and/or prey vulnerabilities = ((#TimeSeries-1)-6preyvulOnly)/2</t>
  </si>
  <si>
    <t>make sure these are included</t>
  </si>
  <si>
    <t>Additional groups for prey/pred vul fit in addition to phyto/det</t>
  </si>
  <si>
    <t>Total groups to fit prey/pred vul</t>
  </si>
  <si>
    <t>run with optim factr=1e15</t>
  </si>
  <si>
    <t>run with optim factr=1e11</t>
  </si>
  <si>
    <t>run with optim factr=1e7</t>
  </si>
  <si>
    <t>64 time series B</t>
  </si>
  <si>
    <t>98 time series catch+biomass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</si>
</sst>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11" fontId="0" fillId="36" borderId="0" xfId="0" applyNumberFormat="1" applyFill="1"/>
    <xf numFmtId="0" fontId="14" fillId="0" borderId="0" xfId="0" applyFont="1"/>
    <xf numFmtId="0" fontId="14" fillId="35" borderId="0" xfId="0" applyFont="1" applyFill="1"/>
    <xf numFmtId="0" fontId="18" fillId="35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preyvul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Sheet1!$B$2:$B$87</c:f>
              <c:strCache>
                <c:ptCount val="86"/>
                <c:pt idx="0">
                  <c:v>transient_killer_whales</c:v>
                </c:pt>
                <c:pt idx="1">
                  <c:v>resident_killer_whales</c:v>
                </c:pt>
                <c:pt idx="2">
                  <c:v>offshore_killer_whales</c:v>
                </c:pt>
                <c:pt idx="3">
                  <c:v>other_toothed_whales</c:v>
                </c:pt>
                <c:pt idx="4">
                  <c:v>humpback_whale</c:v>
                </c:pt>
                <c:pt idx="5">
                  <c:v>other_baleen_whales</c:v>
                </c:pt>
                <c:pt idx="6">
                  <c:v>dolphins_porpoises</c:v>
                </c:pt>
                <c:pt idx="7">
                  <c:v>northern_elephant_seal</c:v>
                </c:pt>
                <c:pt idx="8">
                  <c:v>northern_fur_seal_adult</c:v>
                </c:pt>
                <c:pt idx="9">
                  <c:v>northern_fur_seal_juvenile</c:v>
                </c:pt>
                <c:pt idx="10">
                  <c:v>steller_sea_lion</c:v>
                </c:pt>
                <c:pt idx="11">
                  <c:v>harbor_seal</c:v>
                </c:pt>
                <c:pt idx="12">
                  <c:v>sea_otter</c:v>
                </c:pt>
                <c:pt idx="13">
                  <c:v>piscivorous_surface_birds</c:v>
                </c:pt>
                <c:pt idx="14">
                  <c:v>planktivorous_surface_birds</c:v>
                </c:pt>
                <c:pt idx="15">
                  <c:v>piscivorous_diving_birds</c:v>
                </c:pt>
                <c:pt idx="16">
                  <c:v>planktivorous_diving_birds</c:v>
                </c:pt>
                <c:pt idx="17">
                  <c:v>salmon_returning</c:v>
                </c:pt>
                <c:pt idx="18">
                  <c:v>salmon_outgoing</c:v>
                </c:pt>
                <c:pt idx="19">
                  <c:v>pacific_hake</c:v>
                </c:pt>
                <c:pt idx="20">
                  <c:v>pacific_herring_adult</c:v>
                </c:pt>
                <c:pt idx="21">
                  <c:v>pacific_herring_juvenile</c:v>
                </c:pt>
                <c:pt idx="22">
                  <c:v>pacific_sandlance</c:v>
                </c:pt>
                <c:pt idx="23">
                  <c:v>pacific_capelin</c:v>
                </c:pt>
                <c:pt idx="24">
                  <c:v>shelf_forage_fish</c:v>
                </c:pt>
                <c:pt idx="25">
                  <c:v>slope_forage_fish</c:v>
                </c:pt>
                <c:pt idx="26">
                  <c:v>pacific_dogfish</c:v>
                </c:pt>
                <c:pt idx="27">
                  <c:v>salmon_shark</c:v>
                </c:pt>
                <c:pt idx="28">
                  <c:v>pacific_sleeper_shark</c:v>
                </c:pt>
                <c:pt idx="29">
                  <c:v>big_skate</c:v>
                </c:pt>
                <c:pt idx="30">
                  <c:v>longnose_skate</c:v>
                </c:pt>
                <c:pt idx="31">
                  <c:v>other_skates</c:v>
                </c:pt>
                <c:pt idx="32">
                  <c:v>pacific_halibut_adult</c:v>
                </c:pt>
                <c:pt idx="33">
                  <c:v>pacific_halibut_juvenile</c:v>
                </c:pt>
                <c:pt idx="34">
                  <c:v>arrowtooth_flounder_adult</c:v>
                </c:pt>
                <c:pt idx="35">
                  <c:v>arrowtooth_flounder_juvenile</c:v>
                </c:pt>
                <c:pt idx="36">
                  <c:v>rex_sole_adult</c:v>
                </c:pt>
                <c:pt idx="37">
                  <c:v>rex_sole_juvenile</c:v>
                </c:pt>
                <c:pt idx="38">
                  <c:v>flathead_sole_adult</c:v>
                </c:pt>
                <c:pt idx="39">
                  <c:v>flathead_sole_juvenile</c:v>
                </c:pt>
                <c:pt idx="40">
                  <c:v>shallow_water_flatfish</c:v>
                </c:pt>
                <c:pt idx="41">
                  <c:v>deep_water_flatfish</c:v>
                </c:pt>
                <c:pt idx="42">
                  <c:v>pacific_ocean_perch_adult</c:v>
                </c:pt>
                <c:pt idx="43">
                  <c:v>pacific_ocean_perch_juvenile</c:v>
                </c:pt>
                <c:pt idx="44">
                  <c:v>slope_rockfish</c:v>
                </c:pt>
                <c:pt idx="45">
                  <c:v>demersal_shelf_rockfish</c:v>
                </c:pt>
                <c:pt idx="46">
                  <c:v>pelagic_shelf_rockfish</c:v>
                </c:pt>
                <c:pt idx="47">
                  <c:v>thornyheads</c:v>
                </c:pt>
                <c:pt idx="48">
                  <c:v>sablefish_adult</c:v>
                </c:pt>
                <c:pt idx="49">
                  <c:v>sablefish_juvenile</c:v>
                </c:pt>
                <c:pt idx="50">
                  <c:v>pacific_cod_adult</c:v>
                </c:pt>
                <c:pt idx="51">
                  <c:v>pacific_cod_juvenile</c:v>
                </c:pt>
                <c:pt idx="52">
                  <c:v>walleye_pollock_adult</c:v>
                </c:pt>
                <c:pt idx="53">
                  <c:v>walleye_pollock_juvenile</c:v>
                </c:pt>
                <c:pt idx="54">
                  <c:v>large_sculpins</c:v>
                </c:pt>
                <c:pt idx="55">
                  <c:v>lingcod</c:v>
                </c:pt>
                <c:pt idx="56">
                  <c:v>atka_mackerel</c:v>
                </c:pt>
                <c:pt idx="57">
                  <c:v>shelf_demersal_fish</c:v>
                </c:pt>
                <c:pt idx="58">
                  <c:v>slope_demersal_fish</c:v>
                </c:pt>
                <c:pt idx="59">
                  <c:v>miscellaneous_deep_sea_fish</c:v>
                </c:pt>
                <c:pt idx="60">
                  <c:v>squid</c:v>
                </c:pt>
                <c:pt idx="61">
                  <c:v>octopus</c:v>
                </c:pt>
                <c:pt idx="62">
                  <c:v>tanner_crab</c:v>
                </c:pt>
                <c:pt idx="63">
                  <c:v>king_crab</c:v>
                </c:pt>
                <c:pt idx="64">
                  <c:v>pandalid_shrimp</c:v>
                </c:pt>
                <c:pt idx="65">
                  <c:v>nonpandalid_shrimp</c:v>
                </c:pt>
                <c:pt idx="66">
                  <c:v>motile_epifauna</c:v>
                </c:pt>
                <c:pt idx="67">
                  <c:v>benthic_zooplankton</c:v>
                </c:pt>
                <c:pt idx="68">
                  <c:v>sessile_epifauna</c:v>
                </c:pt>
                <c:pt idx="69">
                  <c:v>infauna</c:v>
                </c:pt>
                <c:pt idx="70">
                  <c:v>gelatinous_carnivores</c:v>
                </c:pt>
                <c:pt idx="71">
                  <c:v>other_gelatinous_zooplankton</c:v>
                </c:pt>
                <c:pt idx="72">
                  <c:v>mysids</c:v>
                </c:pt>
                <c:pt idx="73">
                  <c:v>pelagic_amphipods</c:v>
                </c:pt>
                <c:pt idx="74">
                  <c:v>euphausiids</c:v>
                </c:pt>
                <c:pt idx="75">
                  <c:v>large_copepods</c:v>
                </c:pt>
                <c:pt idx="76">
                  <c:v>small_copepods</c:v>
                </c:pt>
                <c:pt idx="77">
                  <c:v>large_microzooplankton</c:v>
                </c:pt>
                <c:pt idx="78">
                  <c:v>small_microzooplankton</c:v>
                </c:pt>
                <c:pt idx="79">
                  <c:v>large_phytoplankton</c:v>
                </c:pt>
                <c:pt idx="80">
                  <c:v>small_phytoplankton</c:v>
                </c:pt>
                <c:pt idx="81">
                  <c:v>macroalgae</c:v>
                </c:pt>
                <c:pt idx="82">
                  <c:v>benthic_microbes</c:v>
                </c:pt>
                <c:pt idx="83">
                  <c:v>discards</c:v>
                </c:pt>
                <c:pt idx="84">
                  <c:v>offal</c:v>
                </c:pt>
                <c:pt idx="85">
                  <c:v>detritus</c:v>
                </c:pt>
              </c:strCache>
            </c:strRef>
          </c:cat>
          <c:val>
            <c:numRef>
              <c:f>Sheet1!$C$2:$C$87</c:f>
              <c:numCache>
                <c:formatCode>General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1.74231954588322E-2</c:v>
                </c:pt>
                <c:pt idx="5">
                  <c:v>2.6937232178170201E-4</c:v>
                </c:pt>
                <c:pt idx="6">
                  <c:v>2.6533598429523398E-4</c:v>
                </c:pt>
                <c:pt idx="7">
                  <c:v>1.5805399188324699E-3</c:v>
                </c:pt>
                <c:pt idx="8">
                  <c:v>1.9161052478011701E-2</c:v>
                </c:pt>
                <c:pt idx="9">
                  <c:v>3.4247077564941702E-3</c:v>
                </c:pt>
                <c:pt idx="10">
                  <c:v>2.18217970588903</c:v>
                </c:pt>
                <c:pt idx="11">
                  <c:v>4.5</c:v>
                </c:pt>
                <c:pt idx="12">
                  <c:v>-1.8466385881933601E-2</c:v>
                </c:pt>
                <c:pt idx="13">
                  <c:v>9.3006783572491293E-3</c:v>
                </c:pt>
                <c:pt idx="14" formatCode="0.00E+00">
                  <c:v>9.5036739367060404E-5</c:v>
                </c:pt>
                <c:pt idx="15">
                  <c:v>0.10145861597266</c:v>
                </c:pt>
                <c:pt idx="16">
                  <c:v>2.6104589778697101E-3</c:v>
                </c:pt>
                <c:pt idx="17">
                  <c:v>2.8250278736354302</c:v>
                </c:pt>
                <c:pt idx="18">
                  <c:v>0.26208013332507102</c:v>
                </c:pt>
                <c:pt idx="19">
                  <c:v>3.2782740527181899</c:v>
                </c:pt>
                <c:pt idx="20">
                  <c:v>-4.5</c:v>
                </c:pt>
                <c:pt idx="21">
                  <c:v>-4.5</c:v>
                </c:pt>
                <c:pt idx="22">
                  <c:v>-4.5</c:v>
                </c:pt>
                <c:pt idx="23">
                  <c:v>4.5</c:v>
                </c:pt>
                <c:pt idx="24">
                  <c:v>-4.5</c:v>
                </c:pt>
                <c:pt idx="25">
                  <c:v>4.5</c:v>
                </c:pt>
                <c:pt idx="26">
                  <c:v>-4.5</c:v>
                </c:pt>
                <c:pt idx="27">
                  <c:v>0</c:v>
                </c:pt>
                <c:pt idx="28">
                  <c:v>-0.213508384547417</c:v>
                </c:pt>
                <c:pt idx="29">
                  <c:v>-4.5</c:v>
                </c:pt>
                <c:pt idx="30">
                  <c:v>1.4114735514872601</c:v>
                </c:pt>
                <c:pt idx="31">
                  <c:v>-1.12631424400998</c:v>
                </c:pt>
                <c:pt idx="32">
                  <c:v>4.5</c:v>
                </c:pt>
                <c:pt idx="33">
                  <c:v>4.5</c:v>
                </c:pt>
                <c:pt idx="34">
                  <c:v>-4.5</c:v>
                </c:pt>
                <c:pt idx="35">
                  <c:v>4.5</c:v>
                </c:pt>
                <c:pt idx="36">
                  <c:v>2.9641226901380899</c:v>
                </c:pt>
                <c:pt idx="37">
                  <c:v>-0.38771918661950999</c:v>
                </c:pt>
                <c:pt idx="38">
                  <c:v>-4.5</c:v>
                </c:pt>
                <c:pt idx="39">
                  <c:v>-4.5</c:v>
                </c:pt>
                <c:pt idx="40">
                  <c:v>-4.5</c:v>
                </c:pt>
                <c:pt idx="41">
                  <c:v>-4.5</c:v>
                </c:pt>
                <c:pt idx="42">
                  <c:v>0.113389327689283</c:v>
                </c:pt>
                <c:pt idx="43">
                  <c:v>-1.2877033386757799</c:v>
                </c:pt>
                <c:pt idx="44">
                  <c:v>-4.5</c:v>
                </c:pt>
                <c:pt idx="45">
                  <c:v>-9.3555445346347799E-2</c:v>
                </c:pt>
                <c:pt idx="46">
                  <c:v>-0.52318985803103102</c:v>
                </c:pt>
                <c:pt idx="47">
                  <c:v>1.5640412221759901</c:v>
                </c:pt>
                <c:pt idx="48">
                  <c:v>4.5</c:v>
                </c:pt>
                <c:pt idx="49">
                  <c:v>1.47889052095706</c:v>
                </c:pt>
                <c:pt idx="50">
                  <c:v>-4.5</c:v>
                </c:pt>
                <c:pt idx="51">
                  <c:v>-4.5</c:v>
                </c:pt>
                <c:pt idx="52">
                  <c:v>-4.5</c:v>
                </c:pt>
                <c:pt idx="53">
                  <c:v>4.5</c:v>
                </c:pt>
                <c:pt idx="54">
                  <c:v>0.118200044138561</c:v>
                </c:pt>
                <c:pt idx="55">
                  <c:v>-4.5</c:v>
                </c:pt>
                <c:pt idx="56">
                  <c:v>-9.1735628301377103E-2</c:v>
                </c:pt>
                <c:pt idx="57">
                  <c:v>-4.5</c:v>
                </c:pt>
                <c:pt idx="58">
                  <c:v>-4.5</c:v>
                </c:pt>
                <c:pt idx="59">
                  <c:v>-4.5</c:v>
                </c:pt>
                <c:pt idx="60">
                  <c:v>-4.5</c:v>
                </c:pt>
                <c:pt idx="61">
                  <c:v>-4.5</c:v>
                </c:pt>
                <c:pt idx="62">
                  <c:v>-4.5</c:v>
                </c:pt>
                <c:pt idx="63">
                  <c:v>8.2808202932938002E-2</c:v>
                </c:pt>
                <c:pt idx="64">
                  <c:v>-4.5</c:v>
                </c:pt>
                <c:pt idx="65">
                  <c:v>-4.5</c:v>
                </c:pt>
                <c:pt idx="66">
                  <c:v>-4.5</c:v>
                </c:pt>
                <c:pt idx="67">
                  <c:v>-4.5</c:v>
                </c:pt>
                <c:pt idx="68">
                  <c:v>-4.5</c:v>
                </c:pt>
                <c:pt idx="69">
                  <c:v>-4.5</c:v>
                </c:pt>
                <c:pt idx="70">
                  <c:v>-3.0013724609179899</c:v>
                </c:pt>
                <c:pt idx="71">
                  <c:v>-4.5</c:v>
                </c:pt>
                <c:pt idx="72">
                  <c:v>-4.5</c:v>
                </c:pt>
                <c:pt idx="73">
                  <c:v>4.5</c:v>
                </c:pt>
                <c:pt idx="74">
                  <c:v>-4.5</c:v>
                </c:pt>
                <c:pt idx="75">
                  <c:v>-4.5</c:v>
                </c:pt>
                <c:pt idx="76">
                  <c:v>-4.5</c:v>
                </c:pt>
                <c:pt idx="77">
                  <c:v>-4.5</c:v>
                </c:pt>
                <c:pt idx="78">
                  <c:v>-4.5</c:v>
                </c:pt>
                <c:pt idx="79">
                  <c:v>4.5</c:v>
                </c:pt>
                <c:pt idx="80">
                  <c:v>4.5</c:v>
                </c:pt>
                <c:pt idx="81">
                  <c:v>-1.7646920241531899E-2</c:v>
                </c:pt>
                <c:pt idx="82">
                  <c:v>-4.5</c:v>
                </c:pt>
                <c:pt idx="83">
                  <c:v>-4.1091421535384098</c:v>
                </c:pt>
                <c:pt idx="84">
                  <c:v>-4.5</c:v>
                </c:pt>
                <c:pt idx="85">
                  <c:v>-4.5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B-48A0-80E4-44C6120BE4F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predvul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Sheet1!$B$2:$B$87</c:f>
              <c:strCache>
                <c:ptCount val="86"/>
                <c:pt idx="0">
                  <c:v>transient_killer_whales</c:v>
                </c:pt>
                <c:pt idx="1">
                  <c:v>resident_killer_whales</c:v>
                </c:pt>
                <c:pt idx="2">
                  <c:v>offshore_killer_whales</c:v>
                </c:pt>
                <c:pt idx="3">
                  <c:v>other_toothed_whales</c:v>
                </c:pt>
                <c:pt idx="4">
                  <c:v>humpback_whale</c:v>
                </c:pt>
                <c:pt idx="5">
                  <c:v>other_baleen_whales</c:v>
                </c:pt>
                <c:pt idx="6">
                  <c:v>dolphins_porpoises</c:v>
                </c:pt>
                <c:pt idx="7">
                  <c:v>northern_elephant_seal</c:v>
                </c:pt>
                <c:pt idx="8">
                  <c:v>northern_fur_seal_adult</c:v>
                </c:pt>
                <c:pt idx="9">
                  <c:v>northern_fur_seal_juvenile</c:v>
                </c:pt>
                <c:pt idx="10">
                  <c:v>steller_sea_lion</c:v>
                </c:pt>
                <c:pt idx="11">
                  <c:v>harbor_seal</c:v>
                </c:pt>
                <c:pt idx="12">
                  <c:v>sea_otter</c:v>
                </c:pt>
                <c:pt idx="13">
                  <c:v>piscivorous_surface_birds</c:v>
                </c:pt>
                <c:pt idx="14">
                  <c:v>planktivorous_surface_birds</c:v>
                </c:pt>
                <c:pt idx="15">
                  <c:v>piscivorous_diving_birds</c:v>
                </c:pt>
                <c:pt idx="16">
                  <c:v>planktivorous_diving_birds</c:v>
                </c:pt>
                <c:pt idx="17">
                  <c:v>salmon_returning</c:v>
                </c:pt>
                <c:pt idx="18">
                  <c:v>salmon_outgoing</c:v>
                </c:pt>
                <c:pt idx="19">
                  <c:v>pacific_hake</c:v>
                </c:pt>
                <c:pt idx="20">
                  <c:v>pacific_herring_adult</c:v>
                </c:pt>
                <c:pt idx="21">
                  <c:v>pacific_herring_juvenile</c:v>
                </c:pt>
                <c:pt idx="22">
                  <c:v>pacific_sandlance</c:v>
                </c:pt>
                <c:pt idx="23">
                  <c:v>pacific_capelin</c:v>
                </c:pt>
                <c:pt idx="24">
                  <c:v>shelf_forage_fish</c:v>
                </c:pt>
                <c:pt idx="25">
                  <c:v>slope_forage_fish</c:v>
                </c:pt>
                <c:pt idx="26">
                  <c:v>pacific_dogfish</c:v>
                </c:pt>
                <c:pt idx="27">
                  <c:v>salmon_shark</c:v>
                </c:pt>
                <c:pt idx="28">
                  <c:v>pacific_sleeper_shark</c:v>
                </c:pt>
                <c:pt idx="29">
                  <c:v>big_skate</c:v>
                </c:pt>
                <c:pt idx="30">
                  <c:v>longnose_skate</c:v>
                </c:pt>
                <c:pt idx="31">
                  <c:v>other_skates</c:v>
                </c:pt>
                <c:pt idx="32">
                  <c:v>pacific_halibut_adult</c:v>
                </c:pt>
                <c:pt idx="33">
                  <c:v>pacific_halibut_juvenile</c:v>
                </c:pt>
                <c:pt idx="34">
                  <c:v>arrowtooth_flounder_adult</c:v>
                </c:pt>
                <c:pt idx="35">
                  <c:v>arrowtooth_flounder_juvenile</c:v>
                </c:pt>
                <c:pt idx="36">
                  <c:v>rex_sole_adult</c:v>
                </c:pt>
                <c:pt idx="37">
                  <c:v>rex_sole_juvenile</c:v>
                </c:pt>
                <c:pt idx="38">
                  <c:v>flathead_sole_adult</c:v>
                </c:pt>
                <c:pt idx="39">
                  <c:v>flathead_sole_juvenile</c:v>
                </c:pt>
                <c:pt idx="40">
                  <c:v>shallow_water_flatfish</c:v>
                </c:pt>
                <c:pt idx="41">
                  <c:v>deep_water_flatfish</c:v>
                </c:pt>
                <c:pt idx="42">
                  <c:v>pacific_ocean_perch_adult</c:v>
                </c:pt>
                <c:pt idx="43">
                  <c:v>pacific_ocean_perch_juvenile</c:v>
                </c:pt>
                <c:pt idx="44">
                  <c:v>slope_rockfish</c:v>
                </c:pt>
                <c:pt idx="45">
                  <c:v>demersal_shelf_rockfish</c:v>
                </c:pt>
                <c:pt idx="46">
                  <c:v>pelagic_shelf_rockfish</c:v>
                </c:pt>
                <c:pt idx="47">
                  <c:v>thornyheads</c:v>
                </c:pt>
                <c:pt idx="48">
                  <c:v>sablefish_adult</c:v>
                </c:pt>
                <c:pt idx="49">
                  <c:v>sablefish_juvenile</c:v>
                </c:pt>
                <c:pt idx="50">
                  <c:v>pacific_cod_adult</c:v>
                </c:pt>
                <c:pt idx="51">
                  <c:v>pacific_cod_juvenile</c:v>
                </c:pt>
                <c:pt idx="52">
                  <c:v>walleye_pollock_adult</c:v>
                </c:pt>
                <c:pt idx="53">
                  <c:v>walleye_pollock_juvenile</c:v>
                </c:pt>
                <c:pt idx="54">
                  <c:v>large_sculpins</c:v>
                </c:pt>
                <c:pt idx="55">
                  <c:v>lingcod</c:v>
                </c:pt>
                <c:pt idx="56">
                  <c:v>atka_mackerel</c:v>
                </c:pt>
                <c:pt idx="57">
                  <c:v>shelf_demersal_fish</c:v>
                </c:pt>
                <c:pt idx="58">
                  <c:v>slope_demersal_fish</c:v>
                </c:pt>
                <c:pt idx="59">
                  <c:v>miscellaneous_deep_sea_fish</c:v>
                </c:pt>
                <c:pt idx="60">
                  <c:v>squid</c:v>
                </c:pt>
                <c:pt idx="61">
                  <c:v>octopus</c:v>
                </c:pt>
                <c:pt idx="62">
                  <c:v>tanner_crab</c:v>
                </c:pt>
                <c:pt idx="63">
                  <c:v>king_crab</c:v>
                </c:pt>
                <c:pt idx="64">
                  <c:v>pandalid_shrimp</c:v>
                </c:pt>
                <c:pt idx="65">
                  <c:v>nonpandalid_shrimp</c:v>
                </c:pt>
                <c:pt idx="66">
                  <c:v>motile_epifauna</c:v>
                </c:pt>
                <c:pt idx="67">
                  <c:v>benthic_zooplankton</c:v>
                </c:pt>
                <c:pt idx="68">
                  <c:v>sessile_epifauna</c:v>
                </c:pt>
                <c:pt idx="69">
                  <c:v>infauna</c:v>
                </c:pt>
                <c:pt idx="70">
                  <c:v>gelatinous_carnivores</c:v>
                </c:pt>
                <c:pt idx="71">
                  <c:v>other_gelatinous_zooplankton</c:v>
                </c:pt>
                <c:pt idx="72">
                  <c:v>mysids</c:v>
                </c:pt>
                <c:pt idx="73">
                  <c:v>pelagic_amphipods</c:v>
                </c:pt>
                <c:pt idx="74">
                  <c:v>euphausiids</c:v>
                </c:pt>
                <c:pt idx="75">
                  <c:v>large_copepods</c:v>
                </c:pt>
                <c:pt idx="76">
                  <c:v>small_copepods</c:v>
                </c:pt>
                <c:pt idx="77">
                  <c:v>large_microzooplankton</c:v>
                </c:pt>
                <c:pt idx="78">
                  <c:v>small_microzooplankton</c:v>
                </c:pt>
                <c:pt idx="79">
                  <c:v>large_phytoplankton</c:v>
                </c:pt>
                <c:pt idx="80">
                  <c:v>small_phytoplankton</c:v>
                </c:pt>
                <c:pt idx="81">
                  <c:v>macroalgae</c:v>
                </c:pt>
                <c:pt idx="82">
                  <c:v>benthic_microbes</c:v>
                </c:pt>
                <c:pt idx="83">
                  <c:v>discards</c:v>
                </c:pt>
                <c:pt idx="84">
                  <c:v>offal</c:v>
                </c:pt>
                <c:pt idx="85">
                  <c:v>detritus</c:v>
                </c:pt>
              </c:strCache>
            </c:strRef>
          </c:cat>
          <c:val>
            <c:numRef>
              <c:f>Sheet1!$D$2:$D$87</c:f>
              <c:numCache>
                <c:formatCode>General</c:formatCode>
                <c:ptCount val="86"/>
                <c:pt idx="0">
                  <c:v>2.1316823840607002</c:v>
                </c:pt>
                <c:pt idx="1">
                  <c:v>1.76474875843269</c:v>
                </c:pt>
                <c:pt idx="2">
                  <c:v>-4.5</c:v>
                </c:pt>
                <c:pt idx="3">
                  <c:v>-4.5</c:v>
                </c:pt>
                <c:pt idx="4">
                  <c:v>8.7616728706052499E-2</c:v>
                </c:pt>
                <c:pt idx="5">
                  <c:v>-9.0797293523792195E-3</c:v>
                </c:pt>
                <c:pt idx="6">
                  <c:v>0.77840044468757696</c:v>
                </c:pt>
                <c:pt idx="7">
                  <c:v>4.5</c:v>
                </c:pt>
                <c:pt idx="8">
                  <c:v>-3.4312966254219601</c:v>
                </c:pt>
                <c:pt idx="9">
                  <c:v>-0.64950734849844605</c:v>
                </c:pt>
                <c:pt idx="10">
                  <c:v>-4.5</c:v>
                </c:pt>
                <c:pt idx="11">
                  <c:v>4.5</c:v>
                </c:pt>
                <c:pt idx="12">
                  <c:v>4.5</c:v>
                </c:pt>
                <c:pt idx="13">
                  <c:v>-0.31950872835295702</c:v>
                </c:pt>
                <c:pt idx="14">
                  <c:v>-2.7572550607146699E-2</c:v>
                </c:pt>
                <c:pt idx="15">
                  <c:v>-0.37809538298461098</c:v>
                </c:pt>
                <c:pt idx="16">
                  <c:v>-8.6055186329758698E-2</c:v>
                </c:pt>
                <c:pt idx="17">
                  <c:v>2.8305360071847101</c:v>
                </c:pt>
                <c:pt idx="18">
                  <c:v>0.38774218592152498</c:v>
                </c:pt>
                <c:pt idx="19">
                  <c:v>3.1179677662294099</c:v>
                </c:pt>
                <c:pt idx="20">
                  <c:v>4.5</c:v>
                </c:pt>
                <c:pt idx="21">
                  <c:v>-4.5</c:v>
                </c:pt>
                <c:pt idx="22">
                  <c:v>4.5</c:v>
                </c:pt>
                <c:pt idx="23">
                  <c:v>4.5</c:v>
                </c:pt>
                <c:pt idx="24">
                  <c:v>4.5</c:v>
                </c:pt>
                <c:pt idx="25">
                  <c:v>1.90291052381633</c:v>
                </c:pt>
                <c:pt idx="26">
                  <c:v>-4.5</c:v>
                </c:pt>
                <c:pt idx="27">
                  <c:v>4.5</c:v>
                </c:pt>
                <c:pt idx="28">
                  <c:v>0.56167147979017296</c:v>
                </c:pt>
                <c:pt idx="29">
                  <c:v>-4.5</c:v>
                </c:pt>
                <c:pt idx="30">
                  <c:v>-1.4114735514872601</c:v>
                </c:pt>
                <c:pt idx="31">
                  <c:v>-4.5</c:v>
                </c:pt>
                <c:pt idx="32">
                  <c:v>4.5</c:v>
                </c:pt>
                <c:pt idx="33">
                  <c:v>2.0363470015288798</c:v>
                </c:pt>
                <c:pt idx="34">
                  <c:v>4.5</c:v>
                </c:pt>
                <c:pt idx="35">
                  <c:v>4.5</c:v>
                </c:pt>
                <c:pt idx="36">
                  <c:v>-4.5</c:v>
                </c:pt>
                <c:pt idx="37">
                  <c:v>-4.5</c:v>
                </c:pt>
                <c:pt idx="38">
                  <c:v>-4.5</c:v>
                </c:pt>
                <c:pt idx="39">
                  <c:v>6.6786955358104097E-2</c:v>
                </c:pt>
                <c:pt idx="40">
                  <c:v>4.5</c:v>
                </c:pt>
                <c:pt idx="41">
                  <c:v>-4.5</c:v>
                </c:pt>
                <c:pt idx="42">
                  <c:v>-4.5</c:v>
                </c:pt>
                <c:pt idx="43">
                  <c:v>-4.5</c:v>
                </c:pt>
                <c:pt idx="44">
                  <c:v>-4.5</c:v>
                </c:pt>
                <c:pt idx="45">
                  <c:v>4.5</c:v>
                </c:pt>
                <c:pt idx="46">
                  <c:v>-4.5</c:v>
                </c:pt>
                <c:pt idx="47">
                  <c:v>-4.5</c:v>
                </c:pt>
                <c:pt idx="48">
                  <c:v>-4.5</c:v>
                </c:pt>
                <c:pt idx="49">
                  <c:v>-4.5</c:v>
                </c:pt>
                <c:pt idx="50">
                  <c:v>-4.5</c:v>
                </c:pt>
                <c:pt idx="51">
                  <c:v>-4.5</c:v>
                </c:pt>
                <c:pt idx="52">
                  <c:v>4.5</c:v>
                </c:pt>
                <c:pt idx="53">
                  <c:v>4.5</c:v>
                </c:pt>
                <c:pt idx="54">
                  <c:v>0.33890529759279497</c:v>
                </c:pt>
                <c:pt idx="55">
                  <c:v>-4.5</c:v>
                </c:pt>
                <c:pt idx="56">
                  <c:v>-4.5</c:v>
                </c:pt>
                <c:pt idx="57">
                  <c:v>-4.5</c:v>
                </c:pt>
                <c:pt idx="58">
                  <c:v>4.5</c:v>
                </c:pt>
                <c:pt idx="59">
                  <c:v>4.5</c:v>
                </c:pt>
                <c:pt idx="60">
                  <c:v>-4.5</c:v>
                </c:pt>
                <c:pt idx="61">
                  <c:v>4.5</c:v>
                </c:pt>
                <c:pt idx="62">
                  <c:v>-4.5</c:v>
                </c:pt>
                <c:pt idx="63">
                  <c:v>-0.30911693465896001</c:v>
                </c:pt>
                <c:pt idx="64">
                  <c:v>-4.5</c:v>
                </c:pt>
                <c:pt idx="65">
                  <c:v>2.7398472436520498</c:v>
                </c:pt>
                <c:pt idx="66">
                  <c:v>4.5</c:v>
                </c:pt>
                <c:pt idx="67">
                  <c:v>-4.5</c:v>
                </c:pt>
                <c:pt idx="68">
                  <c:v>-0.39761093285050397</c:v>
                </c:pt>
                <c:pt idx="69">
                  <c:v>-4.5</c:v>
                </c:pt>
                <c:pt idx="70">
                  <c:v>2.2372593276427901</c:v>
                </c:pt>
                <c:pt idx="71">
                  <c:v>-4.5</c:v>
                </c:pt>
                <c:pt idx="72">
                  <c:v>-4.5</c:v>
                </c:pt>
                <c:pt idx="73">
                  <c:v>4.5</c:v>
                </c:pt>
                <c:pt idx="74">
                  <c:v>-4.5</c:v>
                </c:pt>
                <c:pt idx="75">
                  <c:v>4.5</c:v>
                </c:pt>
                <c:pt idx="76">
                  <c:v>0.41270875319872902</c:v>
                </c:pt>
                <c:pt idx="77">
                  <c:v>4.5</c:v>
                </c:pt>
                <c:pt idx="78">
                  <c:v>4.5</c:v>
                </c:pt>
                <c:pt idx="79">
                  <c:v>-4.5</c:v>
                </c:pt>
                <c:pt idx="80">
                  <c:v>-4.5</c:v>
                </c:pt>
                <c:pt idx="81">
                  <c:v>-2.8000321653962601</c:v>
                </c:pt>
                <c:pt idx="82">
                  <c:v>4.5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B-48A0-80E4-44C6120BE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64256"/>
        <c:axId val="1370266176"/>
      </c:barChart>
      <c:catAx>
        <c:axId val="137026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6176"/>
        <c:crosses val="autoZero"/>
        <c:auto val="1"/>
        <c:lblAlgn val="ctr"/>
        <c:lblOffset val="100"/>
        <c:noMultiLvlLbl val="0"/>
      </c:catAx>
      <c:valAx>
        <c:axId val="13702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63</xdr:row>
      <xdr:rowOff>28575</xdr:rowOff>
    </xdr:from>
    <xdr:to>
      <xdr:col>24</xdr:col>
      <xdr:colOff>400049</xdr:colOff>
      <xdr:row>77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AD95B-CD49-5656-8C6C-4175A7352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workbookViewId="0">
      <selection activeCell="K12" sqref="K12"/>
    </sheetView>
  </sheetViews>
  <sheetFormatPr defaultRowHeight="15" x14ac:dyDescent="0.25"/>
  <cols>
    <col min="1" max="1" width="22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1</v>
      </c>
      <c r="C2">
        <v>0</v>
      </c>
      <c r="D2">
        <v>2.1316823840607002</v>
      </c>
      <c r="E2">
        <v>27834.488728296601</v>
      </c>
      <c r="F2">
        <v>-3.4308129620803798</v>
      </c>
      <c r="G2">
        <v>-19.093629828646101</v>
      </c>
      <c r="H2">
        <v>1.50722888344497E-2</v>
      </c>
      <c r="I2" t="b">
        <v>1</v>
      </c>
      <c r="J2">
        <v>2</v>
      </c>
      <c r="K2">
        <v>9.4290357647051408</v>
      </c>
    </row>
    <row r="3" spans="1:11" x14ac:dyDescent="0.25">
      <c r="A3" t="s">
        <v>11</v>
      </c>
      <c r="B3">
        <v>2</v>
      </c>
      <c r="C3">
        <v>0</v>
      </c>
      <c r="D3">
        <v>1.76474875843269</v>
      </c>
      <c r="E3">
        <v>27835.316812343299</v>
      </c>
      <c r="F3">
        <v>-2.6027289154226301</v>
      </c>
      <c r="G3">
        <v>-11.0381421155049</v>
      </c>
      <c r="H3">
        <v>-0.27013045495300902</v>
      </c>
      <c r="I3" t="b">
        <v>1</v>
      </c>
      <c r="J3">
        <v>2</v>
      </c>
      <c r="K3">
        <v>6.8401048966425604</v>
      </c>
    </row>
    <row r="4" spans="1:11" x14ac:dyDescent="0.25">
      <c r="A4" t="s">
        <v>12</v>
      </c>
      <c r="B4">
        <v>3</v>
      </c>
      <c r="C4">
        <v>0</v>
      </c>
      <c r="D4">
        <v>-4.5</v>
      </c>
      <c r="E4">
        <v>27826.7189229469</v>
      </c>
      <c r="F4">
        <v>-11.200618311857401</v>
      </c>
      <c r="G4" t="s">
        <v>13</v>
      </c>
      <c r="H4" t="s">
        <v>13</v>
      </c>
      <c r="I4" t="b">
        <v>1</v>
      </c>
      <c r="J4">
        <v>2</v>
      </c>
      <c r="K4">
        <v>1.01110899653824</v>
      </c>
    </row>
    <row r="5" spans="1:11" x14ac:dyDescent="0.25">
      <c r="A5" t="s">
        <v>14</v>
      </c>
      <c r="B5">
        <v>4</v>
      </c>
      <c r="C5">
        <v>0</v>
      </c>
      <c r="D5">
        <v>-4.5</v>
      </c>
      <c r="E5">
        <v>27769.113712457001</v>
      </c>
      <c r="F5">
        <v>-68.805828801687298</v>
      </c>
      <c r="G5" t="s">
        <v>13</v>
      </c>
      <c r="H5" t="s">
        <v>13</v>
      </c>
      <c r="I5" t="b">
        <v>1</v>
      </c>
      <c r="J5">
        <v>2</v>
      </c>
      <c r="K5">
        <v>1.01110899653824</v>
      </c>
    </row>
    <row r="6" spans="1:11" x14ac:dyDescent="0.25">
      <c r="A6" t="s">
        <v>15</v>
      </c>
      <c r="B6">
        <v>5</v>
      </c>
      <c r="C6">
        <v>1.74231954588322E-2</v>
      </c>
      <c r="D6">
        <v>8.7616728706052499E-2</v>
      </c>
      <c r="E6">
        <v>27837.9125809586</v>
      </c>
      <c r="F6">
        <v>-6.96030009567039E-3</v>
      </c>
      <c r="G6">
        <v>5.2076347891703296</v>
      </c>
      <c r="H6">
        <v>4.09517492200884E-3</v>
      </c>
      <c r="I6" t="b">
        <v>1</v>
      </c>
      <c r="J6">
        <v>2.0175758647019801</v>
      </c>
      <c r="K6">
        <v>2.0915696745222698</v>
      </c>
    </row>
    <row r="7" spans="1:11" x14ac:dyDescent="0.25">
      <c r="A7" t="s">
        <v>16</v>
      </c>
      <c r="B7">
        <v>6</v>
      </c>
      <c r="C7">
        <v>2.6937232178170201E-4</v>
      </c>
      <c r="D7">
        <v>-9.0797293523792195E-3</v>
      </c>
      <c r="E7">
        <v>27837.919468603501</v>
      </c>
      <c r="F7" s="1">
        <v>-7.2655198891880004E-5</v>
      </c>
      <c r="G7">
        <v>3.1825982552666501</v>
      </c>
      <c r="H7" s="1">
        <v>-6.4966435779467702E-5</v>
      </c>
      <c r="I7" t="b">
        <v>1</v>
      </c>
      <c r="J7">
        <v>2.0002694086057602</v>
      </c>
      <c r="K7">
        <v>1.99096136691513</v>
      </c>
    </row>
    <row r="8" spans="1:11" x14ac:dyDescent="0.25">
      <c r="A8" t="s">
        <v>17</v>
      </c>
      <c r="B8">
        <v>7</v>
      </c>
      <c r="C8">
        <v>2.6533598429523398E-4</v>
      </c>
      <c r="D8">
        <v>0.77840044468757696</v>
      </c>
      <c r="E8">
        <v>27837.300171348801</v>
      </c>
      <c r="F8">
        <v>-0.61936990990579899</v>
      </c>
      <c r="G8" t="s">
        <v>13</v>
      </c>
      <c r="H8" t="s">
        <v>13</v>
      </c>
      <c r="I8" t="b">
        <v>1</v>
      </c>
      <c r="J8">
        <v>2.0002653711890002</v>
      </c>
      <c r="K8">
        <v>3.1779856691922399</v>
      </c>
    </row>
    <row r="9" spans="1:11" x14ac:dyDescent="0.25">
      <c r="A9" t="s">
        <v>18</v>
      </c>
      <c r="B9">
        <v>8</v>
      </c>
      <c r="C9">
        <v>1.5805399188324699E-3</v>
      </c>
      <c r="D9">
        <v>4.5</v>
      </c>
      <c r="E9">
        <v>27790.603400783599</v>
      </c>
      <c r="F9">
        <v>-47.316140475100802</v>
      </c>
      <c r="G9" t="s">
        <v>13</v>
      </c>
      <c r="H9" t="s">
        <v>13</v>
      </c>
      <c r="I9" t="b">
        <v>1</v>
      </c>
      <c r="J9">
        <v>2.0015817896303698</v>
      </c>
      <c r="K9">
        <v>91.017131300521797</v>
      </c>
    </row>
    <row r="10" spans="1:11" x14ac:dyDescent="0.25">
      <c r="A10" t="s">
        <v>19</v>
      </c>
      <c r="B10">
        <v>9</v>
      </c>
      <c r="C10">
        <v>1.9161052478011701E-2</v>
      </c>
      <c r="D10">
        <v>-3.4312966254219601</v>
      </c>
      <c r="E10">
        <v>27833.452674759199</v>
      </c>
      <c r="F10">
        <v>-4.4668664994824203</v>
      </c>
      <c r="G10" t="s">
        <v>13</v>
      </c>
      <c r="H10" t="s">
        <v>13</v>
      </c>
      <c r="I10" t="b">
        <v>1</v>
      </c>
      <c r="J10">
        <v>2.0193458035658902</v>
      </c>
      <c r="K10">
        <v>1.03234497425547</v>
      </c>
    </row>
    <row r="11" spans="1:11" x14ac:dyDescent="0.25">
      <c r="A11" t="s">
        <v>20</v>
      </c>
      <c r="B11">
        <v>10</v>
      </c>
      <c r="C11">
        <v>3.4247077564941702E-3</v>
      </c>
      <c r="D11">
        <v>-0.64950734849844605</v>
      </c>
      <c r="E11">
        <v>27837.577018244301</v>
      </c>
      <c r="F11">
        <v>-0.34252301439118998</v>
      </c>
      <c r="G11" t="s">
        <v>13</v>
      </c>
      <c r="H11" t="s">
        <v>13</v>
      </c>
      <c r="I11" t="b">
        <v>1</v>
      </c>
      <c r="J11">
        <v>2.0034305787683602</v>
      </c>
      <c r="K11">
        <v>1.5223030267589099</v>
      </c>
    </row>
    <row r="12" spans="1:11" x14ac:dyDescent="0.25">
      <c r="A12" t="s">
        <v>21</v>
      </c>
      <c r="B12">
        <v>11</v>
      </c>
      <c r="C12">
        <v>2.18217970588903</v>
      </c>
      <c r="D12">
        <v>-4.5</v>
      </c>
      <c r="E12">
        <v>27711.1019578222</v>
      </c>
      <c r="F12">
        <v>-126.817583436481</v>
      </c>
      <c r="G12">
        <v>-10.582307934549499</v>
      </c>
      <c r="H12">
        <v>-1.67075435128841</v>
      </c>
      <c r="I12" t="b">
        <v>1</v>
      </c>
      <c r="J12">
        <v>9.8656096347677096</v>
      </c>
      <c r="K12">
        <v>1.01110899653824</v>
      </c>
    </row>
    <row r="13" spans="1:11" x14ac:dyDescent="0.25">
      <c r="A13" t="s">
        <v>22</v>
      </c>
      <c r="B13">
        <v>12</v>
      </c>
      <c r="C13">
        <v>4.5</v>
      </c>
      <c r="D13">
        <v>4.5</v>
      </c>
      <c r="E13">
        <v>27822.032946103402</v>
      </c>
      <c r="F13">
        <v>-15.8865951553234</v>
      </c>
      <c r="G13">
        <v>371.78455802337902</v>
      </c>
      <c r="H13">
        <v>338.83677926708498</v>
      </c>
      <c r="I13" t="b">
        <v>1</v>
      </c>
      <c r="J13">
        <v>91.017131300521797</v>
      </c>
      <c r="K13">
        <v>91.017131300521797</v>
      </c>
    </row>
    <row r="14" spans="1:11" x14ac:dyDescent="0.25">
      <c r="A14" t="s">
        <v>23</v>
      </c>
      <c r="B14">
        <v>13</v>
      </c>
      <c r="C14">
        <v>-1.8466385881933601E-2</v>
      </c>
      <c r="D14">
        <v>4.5</v>
      </c>
      <c r="E14">
        <v>27825.053671457099</v>
      </c>
      <c r="F14">
        <v>-12.8658698016225</v>
      </c>
      <c r="G14" t="s">
        <v>13</v>
      </c>
      <c r="H14" t="s">
        <v>13</v>
      </c>
      <c r="I14" t="b">
        <v>1</v>
      </c>
      <c r="J14">
        <v>1.9817030731201899</v>
      </c>
      <c r="K14">
        <v>91.017131300521797</v>
      </c>
    </row>
    <row r="15" spans="1:11" x14ac:dyDescent="0.25">
      <c r="A15" t="s">
        <v>24</v>
      </c>
      <c r="B15">
        <v>14</v>
      </c>
      <c r="C15">
        <v>9.3006783572491293E-3</v>
      </c>
      <c r="D15">
        <v>-0.31950872835295702</v>
      </c>
      <c r="E15">
        <v>27837.829906722</v>
      </c>
      <c r="F15">
        <v>-8.9634536736412002E-2</v>
      </c>
      <c r="G15">
        <v>6.5230391315615703</v>
      </c>
      <c r="H15">
        <v>4.4761545842888504E-3</v>
      </c>
      <c r="I15" t="b">
        <v>1</v>
      </c>
      <c r="J15">
        <v>2.0093440640673998</v>
      </c>
      <c r="K15">
        <v>1.7265058611487301</v>
      </c>
    </row>
    <row r="16" spans="1:11" x14ac:dyDescent="0.25">
      <c r="A16" t="s">
        <v>25</v>
      </c>
      <c r="B16">
        <v>15</v>
      </c>
      <c r="C16" s="1">
        <v>9.5036739367060404E-5</v>
      </c>
      <c r="D16">
        <v>-2.7572550607146699E-2</v>
      </c>
      <c r="E16">
        <v>27837.918786305901</v>
      </c>
      <c r="F16">
        <v>-7.5495286364457603E-4</v>
      </c>
      <c r="G16" t="s">
        <v>13</v>
      </c>
      <c r="H16" t="s">
        <v>13</v>
      </c>
      <c r="I16" t="b">
        <v>1</v>
      </c>
      <c r="J16">
        <v>2.0000950412554999</v>
      </c>
      <c r="K16">
        <v>1.9728041024648999</v>
      </c>
    </row>
    <row r="17" spans="1:11" x14ac:dyDescent="0.25">
      <c r="A17" t="s">
        <v>26</v>
      </c>
      <c r="B17">
        <v>16</v>
      </c>
      <c r="C17">
        <v>0.10145861597266</v>
      </c>
      <c r="D17">
        <v>-0.37809538298461098</v>
      </c>
      <c r="E17">
        <v>27837.849686047401</v>
      </c>
      <c r="F17">
        <v>-6.9855211317189997E-2</v>
      </c>
      <c r="G17">
        <v>25.076887768397</v>
      </c>
      <c r="H17">
        <v>4.17659261638086E-2</v>
      </c>
      <c r="I17" t="b">
        <v>1</v>
      </c>
      <c r="J17">
        <v>2.1067841142601198</v>
      </c>
      <c r="K17">
        <v>1.6851651444525599</v>
      </c>
    </row>
    <row r="18" spans="1:11" x14ac:dyDescent="0.25">
      <c r="A18" t="s">
        <v>27</v>
      </c>
      <c r="B18">
        <v>17</v>
      </c>
      <c r="C18">
        <v>2.6104589778697101E-3</v>
      </c>
      <c r="D18">
        <v>-8.6055186329758698E-2</v>
      </c>
      <c r="E18">
        <v>27837.912377598899</v>
      </c>
      <c r="F18">
        <v>-7.16365979678812E-3</v>
      </c>
      <c r="G18">
        <v>5.3293918791766304</v>
      </c>
      <c r="H18">
        <v>-9.41394784208072E-3</v>
      </c>
      <c r="I18" t="b">
        <v>1</v>
      </c>
      <c r="J18">
        <v>2.00261386919267</v>
      </c>
      <c r="K18">
        <v>1.91754359395958</v>
      </c>
    </row>
    <row r="19" spans="1:11" x14ac:dyDescent="0.25">
      <c r="A19" t="s">
        <v>28</v>
      </c>
      <c r="B19">
        <v>18</v>
      </c>
      <c r="C19">
        <v>2.8250278736354302</v>
      </c>
      <c r="D19">
        <v>2.8305360071847101</v>
      </c>
      <c r="E19">
        <v>26948.037806086799</v>
      </c>
      <c r="F19">
        <v>-889.88173517192604</v>
      </c>
      <c r="G19">
        <v>1072.2759080236599</v>
      </c>
      <c r="H19">
        <v>914.472801748699</v>
      </c>
      <c r="I19" t="b">
        <v>1</v>
      </c>
      <c r="J19">
        <v>17.861414968472602</v>
      </c>
      <c r="K19">
        <v>17.954546147972898</v>
      </c>
    </row>
    <row r="20" spans="1:11" x14ac:dyDescent="0.25">
      <c r="A20" t="s">
        <v>29</v>
      </c>
      <c r="B20">
        <v>19</v>
      </c>
      <c r="C20">
        <v>0.26208013332507102</v>
      </c>
      <c r="D20">
        <v>0.38774218592152498</v>
      </c>
      <c r="E20">
        <v>27837.672079681801</v>
      </c>
      <c r="F20">
        <v>-0.2474615769097</v>
      </c>
      <c r="G20">
        <v>15.907323497079</v>
      </c>
      <c r="H20">
        <v>0.14310414390100401</v>
      </c>
      <c r="I20" t="b">
        <v>1</v>
      </c>
      <c r="J20">
        <v>2.2996306819847101</v>
      </c>
      <c r="K20">
        <v>2.4736498076414302</v>
      </c>
    </row>
    <row r="21" spans="1:11" x14ac:dyDescent="0.25">
      <c r="A21" t="s">
        <v>30</v>
      </c>
      <c r="B21">
        <v>20</v>
      </c>
      <c r="C21">
        <v>3.2782740527181899</v>
      </c>
      <c r="D21">
        <v>3.1179677662294099</v>
      </c>
      <c r="E21">
        <v>27813.098149432299</v>
      </c>
      <c r="F21">
        <v>-24.821391826441001</v>
      </c>
      <c r="G21" t="s">
        <v>13</v>
      </c>
      <c r="H21" t="s">
        <v>13</v>
      </c>
      <c r="I21" t="b">
        <v>1</v>
      </c>
      <c r="J21">
        <v>27.529943877662699</v>
      </c>
      <c r="K21">
        <v>23.600403638501</v>
      </c>
    </row>
    <row r="22" spans="1:11" x14ac:dyDescent="0.25">
      <c r="A22" t="s">
        <v>31</v>
      </c>
      <c r="B22">
        <v>21</v>
      </c>
      <c r="C22">
        <v>-4.5</v>
      </c>
      <c r="D22">
        <v>4.5</v>
      </c>
      <c r="E22">
        <v>27138.941643294402</v>
      </c>
      <c r="F22">
        <v>-698.97789796426503</v>
      </c>
      <c r="G22">
        <v>510.97236681879099</v>
      </c>
      <c r="H22">
        <v>15.169545352893</v>
      </c>
      <c r="I22" t="b">
        <v>1</v>
      </c>
      <c r="J22">
        <v>1.01110899653824</v>
      </c>
      <c r="K22">
        <v>91.017131300521797</v>
      </c>
    </row>
    <row r="23" spans="1:11" x14ac:dyDescent="0.25">
      <c r="A23" t="s">
        <v>32</v>
      </c>
      <c r="B23">
        <v>22</v>
      </c>
      <c r="C23">
        <v>-4.5</v>
      </c>
      <c r="D23">
        <v>-4.5</v>
      </c>
      <c r="E23">
        <v>26702.153209951899</v>
      </c>
      <c r="F23">
        <v>-1135.7663313068599</v>
      </c>
      <c r="G23" t="s">
        <v>13</v>
      </c>
      <c r="H23" t="s">
        <v>13</v>
      </c>
      <c r="I23" t="b">
        <v>1</v>
      </c>
      <c r="J23">
        <v>1.01110899653824</v>
      </c>
      <c r="K23">
        <v>1.01110899653824</v>
      </c>
    </row>
    <row r="24" spans="1:11" x14ac:dyDescent="0.25">
      <c r="A24" t="s">
        <v>33</v>
      </c>
      <c r="B24">
        <v>23</v>
      </c>
      <c r="C24">
        <v>-4.5</v>
      </c>
      <c r="D24">
        <v>4.5</v>
      </c>
      <c r="E24">
        <v>17658.056806578501</v>
      </c>
      <c r="F24">
        <v>-10179.8627346802</v>
      </c>
      <c r="G24">
        <v>154.04779812656699</v>
      </c>
      <c r="H24">
        <v>40.232288101716001</v>
      </c>
      <c r="I24" t="b">
        <v>1</v>
      </c>
      <c r="J24">
        <v>1.01110899653824</v>
      </c>
      <c r="K24">
        <v>91.017131300521797</v>
      </c>
    </row>
    <row r="25" spans="1:11" x14ac:dyDescent="0.25">
      <c r="A25" t="s">
        <v>34</v>
      </c>
      <c r="B25">
        <v>24</v>
      </c>
      <c r="C25">
        <v>4.5</v>
      </c>
      <c r="D25">
        <v>4.5</v>
      </c>
      <c r="E25">
        <v>26267.618616980501</v>
      </c>
      <c r="F25">
        <v>-1570.30092427826</v>
      </c>
      <c r="G25">
        <v>225.85876573056399</v>
      </c>
      <c r="H25">
        <v>71.206467750182199</v>
      </c>
      <c r="I25" t="b">
        <v>1</v>
      </c>
      <c r="J25">
        <v>91.017131300521797</v>
      </c>
      <c r="K25">
        <v>91.017131300521797</v>
      </c>
    </row>
    <row r="26" spans="1:11" x14ac:dyDescent="0.25">
      <c r="A26" t="s">
        <v>35</v>
      </c>
      <c r="B26">
        <v>25</v>
      </c>
      <c r="C26">
        <v>-4.5</v>
      </c>
      <c r="D26">
        <v>4.5</v>
      </c>
      <c r="E26">
        <v>23509.583993365399</v>
      </c>
      <c r="F26">
        <v>-4328.3355478933099</v>
      </c>
      <c r="G26">
        <v>146.52256120519601</v>
      </c>
      <c r="H26">
        <v>27.094611050432601</v>
      </c>
      <c r="I26" t="b">
        <v>1</v>
      </c>
      <c r="J26">
        <v>1.01110899653824</v>
      </c>
      <c r="K26">
        <v>91.017131300521797</v>
      </c>
    </row>
    <row r="27" spans="1:11" x14ac:dyDescent="0.25">
      <c r="A27" t="s">
        <v>36</v>
      </c>
      <c r="B27">
        <v>26</v>
      </c>
      <c r="C27">
        <v>4.5</v>
      </c>
      <c r="D27">
        <v>1.90291052381633</v>
      </c>
      <c r="E27">
        <v>27684.2169450068</v>
      </c>
      <c r="F27">
        <v>-153.70259625195499</v>
      </c>
      <c r="G27">
        <v>1119.97131926561</v>
      </c>
      <c r="H27">
        <v>151.95022160399199</v>
      </c>
      <c r="I27" t="b">
        <v>1</v>
      </c>
      <c r="J27">
        <v>91.017131300521797</v>
      </c>
      <c r="K27">
        <v>7.7053822433845998</v>
      </c>
    </row>
    <row r="28" spans="1:11" x14ac:dyDescent="0.25">
      <c r="A28" t="s">
        <v>37</v>
      </c>
      <c r="B28">
        <v>27</v>
      </c>
      <c r="C28">
        <v>-4.5</v>
      </c>
      <c r="D28">
        <v>-4.5</v>
      </c>
      <c r="E28">
        <v>27778.826161303299</v>
      </c>
      <c r="F28">
        <v>-59.093379955440497</v>
      </c>
      <c r="G28">
        <v>91.976296530045602</v>
      </c>
      <c r="H28">
        <v>-79.421754342750503</v>
      </c>
      <c r="I28" t="b">
        <v>1</v>
      </c>
      <c r="J28">
        <v>1.01110899653824</v>
      </c>
      <c r="K28">
        <v>1.01110899653824</v>
      </c>
    </row>
    <row r="29" spans="1:11" x14ac:dyDescent="0.25">
      <c r="A29" t="s">
        <v>38</v>
      </c>
      <c r="B29">
        <v>28</v>
      </c>
      <c r="C29">
        <v>0</v>
      </c>
      <c r="D29">
        <v>4.5</v>
      </c>
      <c r="E29">
        <v>27128.1503173372</v>
      </c>
      <c r="F29">
        <v>-709.76922392153199</v>
      </c>
      <c r="G29" t="s">
        <v>13</v>
      </c>
      <c r="H29" t="s">
        <v>13</v>
      </c>
      <c r="I29" t="b">
        <v>1</v>
      </c>
      <c r="J29">
        <v>2</v>
      </c>
      <c r="K29">
        <v>91.017131300521797</v>
      </c>
    </row>
    <row r="30" spans="1:11" x14ac:dyDescent="0.25">
      <c r="A30" t="s">
        <v>39</v>
      </c>
      <c r="B30">
        <v>29</v>
      </c>
      <c r="C30">
        <v>-0.213508384547417</v>
      </c>
      <c r="D30">
        <v>0.56167147979017296</v>
      </c>
      <c r="E30">
        <v>27700.549659100099</v>
      </c>
      <c r="F30">
        <v>-137.36988215859299</v>
      </c>
      <c r="G30">
        <v>92.409121683727903</v>
      </c>
      <c r="H30">
        <v>-6.41396642343389</v>
      </c>
      <c r="I30" t="b">
        <v>1</v>
      </c>
      <c r="J30">
        <v>1.8077453875426699</v>
      </c>
      <c r="K30">
        <v>2.7536011609162201</v>
      </c>
    </row>
    <row r="31" spans="1:11" x14ac:dyDescent="0.25">
      <c r="A31" t="s">
        <v>40</v>
      </c>
      <c r="B31">
        <v>30</v>
      </c>
      <c r="C31">
        <v>-4.5</v>
      </c>
      <c r="D31">
        <v>-4.5</v>
      </c>
      <c r="E31">
        <v>27732.563724370801</v>
      </c>
      <c r="F31">
        <v>-105.35581688795401</v>
      </c>
      <c r="G31">
        <v>151.539678440052</v>
      </c>
      <c r="H31">
        <v>-120.95088917407</v>
      </c>
      <c r="I31" t="b">
        <v>1</v>
      </c>
      <c r="J31">
        <v>1.01110899653824</v>
      </c>
      <c r="K31">
        <v>1.01110899653824</v>
      </c>
    </row>
    <row r="32" spans="1:11" x14ac:dyDescent="0.25">
      <c r="A32" t="s">
        <v>41</v>
      </c>
      <c r="B32">
        <v>31</v>
      </c>
      <c r="C32">
        <v>1.4114735514872601</v>
      </c>
      <c r="D32">
        <v>-1.4114735514872601</v>
      </c>
      <c r="E32">
        <v>27820.066741308499</v>
      </c>
      <c r="F32">
        <v>-17.852799950182099</v>
      </c>
      <c r="G32">
        <v>439.90699735754299</v>
      </c>
      <c r="H32">
        <v>-53.957344594085697</v>
      </c>
      <c r="I32" t="b">
        <v>1</v>
      </c>
      <c r="J32">
        <v>5.1019954543181996</v>
      </c>
      <c r="K32">
        <v>1.24378379038604</v>
      </c>
    </row>
    <row r="33" spans="1:11" x14ac:dyDescent="0.25">
      <c r="A33" t="s">
        <v>42</v>
      </c>
      <c r="B33">
        <v>32</v>
      </c>
      <c r="C33">
        <v>-1.12631424400998</v>
      </c>
      <c r="D33">
        <v>-4.5</v>
      </c>
      <c r="E33">
        <v>13385.656660635699</v>
      </c>
      <c r="F33">
        <v>-14452.262880623</v>
      </c>
      <c r="G33">
        <v>712.33208565554798</v>
      </c>
      <c r="H33">
        <v>-5889.0384899318897</v>
      </c>
      <c r="I33" t="b">
        <v>1</v>
      </c>
      <c r="J33">
        <v>1.32422607505094</v>
      </c>
      <c r="K33">
        <v>1.01110899653824</v>
      </c>
    </row>
    <row r="34" spans="1:11" x14ac:dyDescent="0.25">
      <c r="A34" t="s">
        <v>43</v>
      </c>
      <c r="B34">
        <v>33</v>
      </c>
      <c r="C34">
        <v>4.5</v>
      </c>
      <c r="D34">
        <v>4.5</v>
      </c>
      <c r="E34">
        <v>22651.313199566401</v>
      </c>
      <c r="F34">
        <v>-5186.6063416923098</v>
      </c>
      <c r="G34">
        <v>32.198019225500197</v>
      </c>
      <c r="H34">
        <v>-48.656162899708796</v>
      </c>
      <c r="I34" t="b">
        <v>1</v>
      </c>
      <c r="J34">
        <v>91.017131300521797</v>
      </c>
      <c r="K34">
        <v>91.017131300521797</v>
      </c>
    </row>
    <row r="35" spans="1:11" x14ac:dyDescent="0.25">
      <c r="A35" t="s">
        <v>44</v>
      </c>
      <c r="B35">
        <v>34</v>
      </c>
      <c r="C35">
        <v>4.5</v>
      </c>
      <c r="D35">
        <v>2.0363470015288798</v>
      </c>
      <c r="E35">
        <v>27427.812593811399</v>
      </c>
      <c r="F35">
        <v>-410.10694744728602</v>
      </c>
      <c r="G35">
        <v>114.596509864485</v>
      </c>
      <c r="H35">
        <v>18.023026998572401</v>
      </c>
      <c r="I35" t="b">
        <v>1</v>
      </c>
      <c r="J35">
        <v>91.017131300521797</v>
      </c>
      <c r="K35">
        <v>8.6625666660824496</v>
      </c>
    </row>
    <row r="36" spans="1:11" x14ac:dyDescent="0.25">
      <c r="A36" t="s">
        <v>45</v>
      </c>
      <c r="B36">
        <v>35</v>
      </c>
      <c r="C36">
        <v>-4.5</v>
      </c>
      <c r="D36">
        <v>4.5</v>
      </c>
      <c r="E36">
        <v>23646.779850233299</v>
      </c>
      <c r="F36">
        <v>-4191.1396910253798</v>
      </c>
      <c r="G36">
        <v>36.781788443595097</v>
      </c>
      <c r="H36">
        <v>-5.2662395476690804</v>
      </c>
      <c r="I36" t="b">
        <v>1</v>
      </c>
      <c r="J36">
        <v>1.01110899653824</v>
      </c>
      <c r="K36">
        <v>91.017131300521797</v>
      </c>
    </row>
    <row r="37" spans="1:11" x14ac:dyDescent="0.25">
      <c r="A37" t="s">
        <v>46</v>
      </c>
      <c r="B37">
        <v>36</v>
      </c>
      <c r="C37">
        <v>4.5</v>
      </c>
      <c r="D37">
        <v>4.5</v>
      </c>
      <c r="E37">
        <v>26936.555893273598</v>
      </c>
      <c r="F37">
        <v>-901.36364798510101</v>
      </c>
      <c r="G37">
        <v>450.856085534854</v>
      </c>
      <c r="H37">
        <v>89.462276573295</v>
      </c>
      <c r="I37" t="b">
        <v>1</v>
      </c>
      <c r="J37">
        <v>91.017131300521797</v>
      </c>
      <c r="K37">
        <v>91.017131300521797</v>
      </c>
    </row>
    <row r="38" spans="1:11" x14ac:dyDescent="0.25">
      <c r="A38" t="s">
        <v>47</v>
      </c>
      <c r="B38">
        <v>37</v>
      </c>
      <c r="C38">
        <v>2.9641226901380899</v>
      </c>
      <c r="D38">
        <v>-4.5</v>
      </c>
      <c r="E38">
        <v>27699.490658942501</v>
      </c>
      <c r="F38">
        <v>-138.42888231622399</v>
      </c>
      <c r="G38">
        <v>36.851036414181898</v>
      </c>
      <c r="H38">
        <v>-71.473181353584394</v>
      </c>
      <c r="I38" t="b">
        <v>1</v>
      </c>
      <c r="J38">
        <v>20.3776955386524</v>
      </c>
      <c r="K38">
        <v>1.01110899653824</v>
      </c>
    </row>
    <row r="39" spans="1:11" x14ac:dyDescent="0.25">
      <c r="A39" t="s">
        <v>48</v>
      </c>
      <c r="B39">
        <v>38</v>
      </c>
      <c r="C39">
        <v>-0.38771918661950999</v>
      </c>
      <c r="D39">
        <v>-4.5</v>
      </c>
      <c r="E39">
        <v>27788.368861395302</v>
      </c>
      <c r="F39">
        <v>-49.550679863372402</v>
      </c>
      <c r="G39">
        <v>760.23237180829699</v>
      </c>
      <c r="H39">
        <v>-55.038193559729301</v>
      </c>
      <c r="I39" t="b">
        <v>1</v>
      </c>
      <c r="J39">
        <v>1.6786028772785799</v>
      </c>
      <c r="K39">
        <v>1.01110899653824</v>
      </c>
    </row>
    <row r="40" spans="1:11" x14ac:dyDescent="0.25">
      <c r="A40" t="s">
        <v>49</v>
      </c>
      <c r="B40">
        <v>39</v>
      </c>
      <c r="C40">
        <v>-4.5</v>
      </c>
      <c r="D40">
        <v>-4.5</v>
      </c>
      <c r="E40">
        <v>27704.336362313999</v>
      </c>
      <c r="F40">
        <v>-133.583178944747</v>
      </c>
      <c r="G40">
        <v>2.7239490095527401</v>
      </c>
      <c r="H40">
        <v>-9.1985394001634706</v>
      </c>
      <c r="I40" t="b">
        <v>1</v>
      </c>
      <c r="J40">
        <v>1.01110899653824</v>
      </c>
      <c r="K40">
        <v>1.01110899653824</v>
      </c>
    </row>
    <row r="41" spans="1:11" x14ac:dyDescent="0.25">
      <c r="A41" t="s">
        <v>50</v>
      </c>
      <c r="B41">
        <v>40</v>
      </c>
      <c r="C41">
        <v>-4.5</v>
      </c>
      <c r="D41">
        <v>6.6786955358104097E-2</v>
      </c>
      <c r="E41">
        <v>27830.781641632799</v>
      </c>
      <c r="F41">
        <v>-7.1378996258790703</v>
      </c>
      <c r="G41">
        <v>25.978914853266399</v>
      </c>
      <c r="H41">
        <v>-14.2680970761515</v>
      </c>
      <c r="I41" t="b">
        <v>1</v>
      </c>
      <c r="J41">
        <v>1.01110899653824</v>
      </c>
      <c r="K41">
        <v>2.0690676947672499</v>
      </c>
    </row>
    <row r="42" spans="1:11" x14ac:dyDescent="0.25">
      <c r="A42" t="s">
        <v>51</v>
      </c>
      <c r="B42">
        <v>41</v>
      </c>
      <c r="C42">
        <v>-4.5</v>
      </c>
      <c r="D42">
        <v>4.5</v>
      </c>
      <c r="E42">
        <v>27456.1572076626</v>
      </c>
      <c r="F42">
        <v>-381.76233359610302</v>
      </c>
      <c r="G42">
        <v>8.1924835824083395</v>
      </c>
      <c r="H42">
        <v>-5.3162295198193501</v>
      </c>
      <c r="I42" t="b">
        <v>1</v>
      </c>
      <c r="J42">
        <v>1.01110899653824</v>
      </c>
      <c r="K42">
        <v>91.017131300521797</v>
      </c>
    </row>
    <row r="43" spans="1:11" x14ac:dyDescent="0.25">
      <c r="A43" t="s">
        <v>52</v>
      </c>
      <c r="B43">
        <v>42</v>
      </c>
      <c r="C43">
        <v>-4.5</v>
      </c>
      <c r="D43">
        <v>-4.5</v>
      </c>
      <c r="E43">
        <v>27571.7147360415</v>
      </c>
      <c r="F43">
        <v>-266.20480521725398</v>
      </c>
      <c r="G43">
        <v>733.56819933795498</v>
      </c>
      <c r="H43">
        <v>-276.94033663470299</v>
      </c>
      <c r="I43" t="b">
        <v>1</v>
      </c>
      <c r="J43">
        <v>1.01110899653824</v>
      </c>
      <c r="K43">
        <v>1.01110899653824</v>
      </c>
    </row>
    <row r="44" spans="1:11" x14ac:dyDescent="0.25">
      <c r="A44" t="s">
        <v>53</v>
      </c>
      <c r="B44">
        <v>43</v>
      </c>
      <c r="C44">
        <v>0.113389327689283</v>
      </c>
      <c r="D44">
        <v>-4.5</v>
      </c>
      <c r="E44">
        <v>27583.7762801553</v>
      </c>
      <c r="F44">
        <v>-254.14326110338499</v>
      </c>
      <c r="G44">
        <v>394.410484711751</v>
      </c>
      <c r="H44">
        <v>-250.65723947677401</v>
      </c>
      <c r="I44" t="b">
        <v>1</v>
      </c>
      <c r="J44">
        <v>2.1200679215275899</v>
      </c>
      <c r="K44">
        <v>1.01110899653824</v>
      </c>
    </row>
    <row r="45" spans="1:11" x14ac:dyDescent="0.25">
      <c r="A45" t="s">
        <v>54</v>
      </c>
      <c r="B45">
        <v>44</v>
      </c>
      <c r="C45">
        <v>-1.2877033386757799</v>
      </c>
      <c r="D45">
        <v>-4.5</v>
      </c>
      <c r="E45">
        <v>27814.712556834202</v>
      </c>
      <c r="F45">
        <v>-23.206984424501599</v>
      </c>
      <c r="G45">
        <v>70.614343254017797</v>
      </c>
      <c r="H45">
        <v>-14.427170559698199</v>
      </c>
      <c r="I45" t="b">
        <v>1</v>
      </c>
      <c r="J45">
        <v>1.27590371338602</v>
      </c>
      <c r="K45">
        <v>1.01110899653824</v>
      </c>
    </row>
    <row r="46" spans="1:11" x14ac:dyDescent="0.25">
      <c r="A46" t="s">
        <v>55</v>
      </c>
      <c r="B46">
        <v>45</v>
      </c>
      <c r="C46">
        <v>-4.5</v>
      </c>
      <c r="D46">
        <v>-4.5</v>
      </c>
      <c r="E46">
        <v>27763.664583297999</v>
      </c>
      <c r="F46">
        <v>-74.254957960696601</v>
      </c>
      <c r="G46">
        <v>10.428509721983</v>
      </c>
      <c r="H46">
        <v>-0.272771587645256</v>
      </c>
      <c r="I46" t="b">
        <v>1</v>
      </c>
      <c r="J46">
        <v>1.01110899653824</v>
      </c>
      <c r="K46">
        <v>1.01110899653824</v>
      </c>
    </row>
    <row r="47" spans="1:11" x14ac:dyDescent="0.25">
      <c r="A47" t="s">
        <v>56</v>
      </c>
      <c r="B47">
        <v>46</v>
      </c>
      <c r="C47">
        <v>-9.3555445346347799E-2</v>
      </c>
      <c r="D47">
        <v>4.5</v>
      </c>
      <c r="E47">
        <v>27803.815247856699</v>
      </c>
      <c r="F47">
        <v>-34.104293401982403</v>
      </c>
      <c r="G47">
        <v>15.360511330212599</v>
      </c>
      <c r="H47">
        <v>4.1888321536104502</v>
      </c>
      <c r="I47" t="b">
        <v>1</v>
      </c>
      <c r="J47">
        <v>1.9106875226412501</v>
      </c>
      <c r="K47">
        <v>91.017131300521797</v>
      </c>
    </row>
    <row r="48" spans="1:11" x14ac:dyDescent="0.25">
      <c r="A48" t="s">
        <v>57</v>
      </c>
      <c r="B48">
        <v>47</v>
      </c>
      <c r="C48">
        <v>-0.52318985803103102</v>
      </c>
      <c r="D48">
        <v>-4.5</v>
      </c>
      <c r="E48">
        <v>27774.001860565499</v>
      </c>
      <c r="F48">
        <v>-63.9176806931901</v>
      </c>
      <c r="G48">
        <v>61.426598705822698</v>
      </c>
      <c r="H48">
        <v>-66.274691850717801</v>
      </c>
      <c r="I48" t="b">
        <v>1</v>
      </c>
      <c r="J48">
        <v>1.5926271332931301</v>
      </c>
      <c r="K48">
        <v>1.01110899653824</v>
      </c>
    </row>
    <row r="49" spans="1:11" x14ac:dyDescent="0.25">
      <c r="A49" t="s">
        <v>58</v>
      </c>
      <c r="B49">
        <v>48</v>
      </c>
      <c r="C49">
        <v>1.5640412221759901</v>
      </c>
      <c r="D49">
        <v>-4.5</v>
      </c>
      <c r="E49">
        <v>27578.041199179901</v>
      </c>
      <c r="F49">
        <v>-259.878342078846</v>
      </c>
      <c r="G49">
        <v>2004.2511479837101</v>
      </c>
      <c r="H49">
        <v>85.473659574686494</v>
      </c>
      <c r="I49" t="b">
        <v>1</v>
      </c>
      <c r="J49">
        <v>5.7780916107736404</v>
      </c>
      <c r="K49">
        <v>1.01110899653824</v>
      </c>
    </row>
    <row r="50" spans="1:11" x14ac:dyDescent="0.25">
      <c r="A50" t="s">
        <v>59</v>
      </c>
      <c r="B50">
        <v>49</v>
      </c>
      <c r="C50">
        <v>4.5</v>
      </c>
      <c r="D50">
        <v>-4.5</v>
      </c>
      <c r="E50">
        <v>27090.534169720599</v>
      </c>
      <c r="F50">
        <v>-747.38537153811205</v>
      </c>
      <c r="G50">
        <v>97.404095999476397</v>
      </c>
      <c r="H50">
        <v>-8.5686517853424196</v>
      </c>
      <c r="I50" t="b">
        <v>1</v>
      </c>
      <c r="J50">
        <v>91.017131300521797</v>
      </c>
      <c r="K50">
        <v>1.01110899653824</v>
      </c>
    </row>
    <row r="51" spans="1:11" x14ac:dyDescent="0.25">
      <c r="A51" t="s">
        <v>60</v>
      </c>
      <c r="B51">
        <v>50</v>
      </c>
      <c r="C51">
        <v>1.47889052095706</v>
      </c>
      <c r="D51">
        <v>-4.5</v>
      </c>
      <c r="E51">
        <v>27827.241764305702</v>
      </c>
      <c r="F51">
        <v>-10.677776952979899</v>
      </c>
      <c r="G51">
        <v>283.37417438300201</v>
      </c>
      <c r="H51">
        <v>-18.5426703426504</v>
      </c>
      <c r="I51" t="b">
        <v>1</v>
      </c>
      <c r="J51">
        <v>5.3880745024838896</v>
      </c>
      <c r="K51">
        <v>1.01110899653824</v>
      </c>
    </row>
    <row r="52" spans="1:11" x14ac:dyDescent="0.25">
      <c r="A52" t="s">
        <v>61</v>
      </c>
      <c r="B52">
        <v>51</v>
      </c>
      <c r="C52">
        <v>-4.5</v>
      </c>
      <c r="D52">
        <v>-4.5</v>
      </c>
      <c r="E52">
        <v>23091.06085183</v>
      </c>
      <c r="F52">
        <v>-4746.85868942873</v>
      </c>
      <c r="G52">
        <v>114.82913699029601</v>
      </c>
      <c r="H52">
        <v>-84.769354520248498</v>
      </c>
      <c r="I52" t="b">
        <v>1</v>
      </c>
      <c r="J52">
        <v>1.01110899653824</v>
      </c>
      <c r="K52">
        <v>1.01110899653824</v>
      </c>
    </row>
    <row r="53" spans="1:11" x14ac:dyDescent="0.25">
      <c r="A53" t="s">
        <v>62</v>
      </c>
      <c r="B53">
        <v>52</v>
      </c>
      <c r="C53">
        <v>-4.5</v>
      </c>
      <c r="D53">
        <v>-4.5</v>
      </c>
      <c r="E53">
        <v>26759.524614408801</v>
      </c>
      <c r="F53">
        <v>-1078.39492684994</v>
      </c>
      <c r="G53">
        <v>39.925309943295197</v>
      </c>
      <c r="H53">
        <v>1.78913536365943</v>
      </c>
      <c r="I53" t="b">
        <v>1</v>
      </c>
      <c r="J53">
        <v>1.01110899653824</v>
      </c>
      <c r="K53">
        <v>1.01110899653824</v>
      </c>
    </row>
    <row r="54" spans="1:11" x14ac:dyDescent="0.25">
      <c r="A54" t="s">
        <v>63</v>
      </c>
      <c r="B54">
        <v>53</v>
      </c>
      <c r="C54">
        <v>-4.5</v>
      </c>
      <c r="D54">
        <v>4.5</v>
      </c>
      <c r="E54">
        <v>13845.121136489601</v>
      </c>
      <c r="F54">
        <v>-13992.798404769101</v>
      </c>
      <c r="G54">
        <v>62.236418222510302</v>
      </c>
      <c r="H54">
        <v>4.6477795416441801</v>
      </c>
      <c r="I54" t="b">
        <v>1</v>
      </c>
      <c r="J54">
        <v>1.01110899653824</v>
      </c>
      <c r="K54">
        <v>91.017131300521797</v>
      </c>
    </row>
    <row r="55" spans="1:11" x14ac:dyDescent="0.25">
      <c r="A55" t="s">
        <v>64</v>
      </c>
      <c r="B55">
        <v>54</v>
      </c>
      <c r="C55">
        <v>4.5</v>
      </c>
      <c r="D55">
        <v>4.5</v>
      </c>
      <c r="E55">
        <v>27834.166099446102</v>
      </c>
      <c r="F55">
        <v>-3.75344181262335</v>
      </c>
      <c r="G55">
        <v>38.813753236424297</v>
      </c>
      <c r="H55">
        <v>1.3929379591592499</v>
      </c>
      <c r="I55" t="b">
        <v>1</v>
      </c>
      <c r="J55">
        <v>91.017131300521797</v>
      </c>
      <c r="K55">
        <v>91.017131300521797</v>
      </c>
    </row>
    <row r="56" spans="1:11" x14ac:dyDescent="0.25">
      <c r="A56" t="s">
        <v>65</v>
      </c>
      <c r="B56">
        <v>55</v>
      </c>
      <c r="C56">
        <v>0.118200044138561</v>
      </c>
      <c r="D56">
        <v>0.33890529759279497</v>
      </c>
      <c r="E56">
        <v>27837.249355921002</v>
      </c>
      <c r="F56">
        <v>-0.67018533772352396</v>
      </c>
      <c r="G56">
        <v>38.642993111760603</v>
      </c>
      <c r="H56">
        <v>1.89573179975569</v>
      </c>
      <c r="I56" t="b">
        <v>1</v>
      </c>
      <c r="J56">
        <v>2.1254692323725899</v>
      </c>
      <c r="K56">
        <v>2.4034104325729899</v>
      </c>
    </row>
    <row r="57" spans="1:11" x14ac:dyDescent="0.25">
      <c r="A57" t="s">
        <v>66</v>
      </c>
      <c r="B57">
        <v>56</v>
      </c>
      <c r="C57">
        <v>-4.5</v>
      </c>
      <c r="D57">
        <v>-4.5</v>
      </c>
      <c r="E57">
        <v>27831.0667308128</v>
      </c>
      <c r="F57">
        <v>-6.8528104458964698</v>
      </c>
      <c r="G57" t="s">
        <v>13</v>
      </c>
      <c r="H57" t="s">
        <v>13</v>
      </c>
      <c r="I57" t="b">
        <v>1</v>
      </c>
      <c r="J57">
        <v>1.01110899653824</v>
      </c>
      <c r="K57">
        <v>1.01110899653824</v>
      </c>
    </row>
    <row r="58" spans="1:11" x14ac:dyDescent="0.25">
      <c r="A58" t="s">
        <v>67</v>
      </c>
      <c r="B58">
        <v>57</v>
      </c>
      <c r="C58">
        <v>-9.1735628301377103E-2</v>
      </c>
      <c r="D58">
        <v>-4.5</v>
      </c>
      <c r="E58">
        <v>27801.726412958898</v>
      </c>
      <c r="F58">
        <v>-36.193128299830299</v>
      </c>
      <c r="G58" t="s">
        <v>13</v>
      </c>
      <c r="H58" t="s">
        <v>13</v>
      </c>
      <c r="I58" t="b">
        <v>1</v>
      </c>
      <c r="J58">
        <v>1.9123463162102099</v>
      </c>
      <c r="K58">
        <v>1.01110899653824</v>
      </c>
    </row>
    <row r="59" spans="1:11" x14ac:dyDescent="0.25">
      <c r="A59" t="s">
        <v>68</v>
      </c>
      <c r="B59">
        <v>58</v>
      </c>
      <c r="C59">
        <v>-4.5</v>
      </c>
      <c r="D59">
        <v>-4.5</v>
      </c>
      <c r="E59">
        <v>23951.1799348942</v>
      </c>
      <c r="F59">
        <v>-3886.7396063644901</v>
      </c>
      <c r="G59">
        <v>43.478541515800899</v>
      </c>
      <c r="H59">
        <v>0.61703152636610503</v>
      </c>
      <c r="I59" t="b">
        <v>1</v>
      </c>
      <c r="J59">
        <v>1.01110899653824</v>
      </c>
      <c r="K59">
        <v>1.01110899653824</v>
      </c>
    </row>
    <row r="60" spans="1:11" x14ac:dyDescent="0.25">
      <c r="A60" t="s">
        <v>69</v>
      </c>
      <c r="B60">
        <v>59</v>
      </c>
      <c r="C60">
        <v>-4.5</v>
      </c>
      <c r="D60">
        <v>4.5</v>
      </c>
      <c r="E60">
        <v>27577.095007715001</v>
      </c>
      <c r="F60">
        <v>-260.824533543695</v>
      </c>
      <c r="G60">
        <v>1241.80789943333</v>
      </c>
      <c r="H60">
        <v>-0.90297181613186694</v>
      </c>
      <c r="I60" t="b">
        <v>1</v>
      </c>
      <c r="J60">
        <v>1.01110899653824</v>
      </c>
      <c r="K60">
        <v>91.017131300521797</v>
      </c>
    </row>
    <row r="61" spans="1:11" x14ac:dyDescent="0.25">
      <c r="A61" t="s">
        <v>70</v>
      </c>
      <c r="B61">
        <v>60</v>
      </c>
      <c r="C61">
        <v>-4.5</v>
      </c>
      <c r="D61">
        <v>4.5</v>
      </c>
      <c r="E61">
        <v>27450.763109254302</v>
      </c>
      <c r="F61">
        <v>-387.15643200444202</v>
      </c>
      <c r="G61" t="s">
        <v>13</v>
      </c>
      <c r="H61" t="s">
        <v>13</v>
      </c>
      <c r="I61" t="b">
        <v>1</v>
      </c>
      <c r="J61">
        <v>1.01110899653824</v>
      </c>
      <c r="K61">
        <v>91.017131300521797</v>
      </c>
    </row>
    <row r="62" spans="1:11" x14ac:dyDescent="0.25">
      <c r="A62" t="s">
        <v>71</v>
      </c>
      <c r="B62">
        <v>61</v>
      </c>
      <c r="C62">
        <v>-4.5</v>
      </c>
      <c r="D62">
        <v>-4.5</v>
      </c>
      <c r="E62">
        <v>25157.6281744732</v>
      </c>
      <c r="F62">
        <v>-2680.29136678547</v>
      </c>
      <c r="G62" t="s">
        <v>13</v>
      </c>
      <c r="H62" t="s">
        <v>13</v>
      </c>
      <c r="I62" t="b">
        <v>1</v>
      </c>
      <c r="J62">
        <v>1.01110899653824</v>
      </c>
      <c r="K62">
        <v>1.01110899653824</v>
      </c>
    </row>
    <row r="63" spans="1:11" x14ac:dyDescent="0.25">
      <c r="A63" t="s">
        <v>72</v>
      </c>
      <c r="B63">
        <v>62</v>
      </c>
      <c r="C63">
        <v>-4.5</v>
      </c>
      <c r="D63">
        <v>4.5</v>
      </c>
      <c r="E63">
        <v>27422.192207695101</v>
      </c>
      <c r="F63">
        <v>-415.72733356361601</v>
      </c>
      <c r="G63">
        <v>405.77337070700497</v>
      </c>
      <c r="H63">
        <v>37.8475706143293</v>
      </c>
      <c r="I63" t="b">
        <v>1</v>
      </c>
      <c r="J63">
        <v>1.01110899653824</v>
      </c>
      <c r="K63">
        <v>91.017131300521797</v>
      </c>
    </row>
    <row r="64" spans="1:11" x14ac:dyDescent="0.25">
      <c r="A64" t="s">
        <v>73</v>
      </c>
      <c r="B64">
        <v>63</v>
      </c>
      <c r="C64">
        <v>-4.5</v>
      </c>
      <c r="D64">
        <v>-4.5</v>
      </c>
      <c r="E64">
        <v>21918.894285475199</v>
      </c>
      <c r="F64">
        <v>-5919.0252557834901</v>
      </c>
      <c r="G64">
        <v>52.019401534002299</v>
      </c>
      <c r="H64">
        <v>-10.4058224033513</v>
      </c>
      <c r="I64" t="b">
        <v>1</v>
      </c>
      <c r="J64">
        <v>1.01110899653824</v>
      </c>
      <c r="K64">
        <v>1.01110899653824</v>
      </c>
    </row>
    <row r="65" spans="1:11" x14ac:dyDescent="0.25">
      <c r="A65" t="s">
        <v>74</v>
      </c>
      <c r="B65">
        <v>64</v>
      </c>
      <c r="C65">
        <v>8.2808202932938002E-2</v>
      </c>
      <c r="D65">
        <v>-0.30911693465896001</v>
      </c>
      <c r="E65">
        <v>27837.831631256598</v>
      </c>
      <c r="F65">
        <v>-8.7910002104763393E-2</v>
      </c>
      <c r="G65">
        <v>15.178098877474699</v>
      </c>
      <c r="H65">
        <v>4.01049230136152E-3</v>
      </c>
      <c r="I65" t="b">
        <v>1</v>
      </c>
      <c r="J65">
        <v>2.0863334329996701</v>
      </c>
      <c r="K65">
        <v>1.7340949238676</v>
      </c>
    </row>
    <row r="66" spans="1:11" x14ac:dyDescent="0.25">
      <c r="A66" t="s">
        <v>75</v>
      </c>
      <c r="B66">
        <v>65</v>
      </c>
      <c r="C66">
        <v>-4.5</v>
      </c>
      <c r="D66">
        <v>-4.5</v>
      </c>
      <c r="E66">
        <v>20349.7714312961</v>
      </c>
      <c r="F66">
        <v>-7488.1481099626299</v>
      </c>
      <c r="G66">
        <v>41.7473536898841</v>
      </c>
      <c r="H66">
        <v>-7.64080504174333</v>
      </c>
      <c r="I66" t="b">
        <v>1</v>
      </c>
      <c r="J66">
        <v>1.01110899653824</v>
      </c>
      <c r="K66">
        <v>1.01110899653824</v>
      </c>
    </row>
    <row r="67" spans="1:11" x14ac:dyDescent="0.25">
      <c r="A67" t="s">
        <v>76</v>
      </c>
      <c r="B67">
        <v>66</v>
      </c>
      <c r="C67">
        <v>-4.5</v>
      </c>
      <c r="D67">
        <v>2.7398472436520498</v>
      </c>
      <c r="E67">
        <v>26829.6737368461</v>
      </c>
      <c r="F67">
        <v>-1008.24580441259</v>
      </c>
      <c r="G67" t="s">
        <v>13</v>
      </c>
      <c r="H67" t="s">
        <v>13</v>
      </c>
      <c r="I67" t="b">
        <v>1</v>
      </c>
      <c r="J67">
        <v>1.01110899653824</v>
      </c>
      <c r="K67">
        <v>16.4846195417371</v>
      </c>
    </row>
    <row r="68" spans="1:11" x14ac:dyDescent="0.25">
      <c r="A68" t="s">
        <v>77</v>
      </c>
      <c r="B68">
        <v>67</v>
      </c>
      <c r="C68">
        <v>-4.5</v>
      </c>
      <c r="D68">
        <v>4.5</v>
      </c>
      <c r="E68">
        <v>27322.166685227301</v>
      </c>
      <c r="F68">
        <v>-515.75285603142402</v>
      </c>
      <c r="G68">
        <v>223.99894160869499</v>
      </c>
      <c r="H68">
        <v>52.085169226531001</v>
      </c>
      <c r="I68" t="b">
        <v>1</v>
      </c>
      <c r="J68">
        <v>1.01110899653824</v>
      </c>
      <c r="K68">
        <v>91.017131300521797</v>
      </c>
    </row>
    <row r="69" spans="1:11" x14ac:dyDescent="0.25">
      <c r="A69" t="s">
        <v>78</v>
      </c>
      <c r="B69">
        <v>68</v>
      </c>
      <c r="C69">
        <v>-4.5</v>
      </c>
      <c r="D69">
        <v>-4.5</v>
      </c>
      <c r="E69">
        <v>22398.618557883099</v>
      </c>
      <c r="F69">
        <v>-5439.3009833756596</v>
      </c>
      <c r="G69" t="s">
        <v>13</v>
      </c>
      <c r="H69" t="s">
        <v>13</v>
      </c>
      <c r="I69" t="b">
        <v>1</v>
      </c>
      <c r="J69">
        <v>1.01110899653824</v>
      </c>
      <c r="K69">
        <v>1.01110899653824</v>
      </c>
    </row>
    <row r="70" spans="1:11" x14ac:dyDescent="0.25">
      <c r="A70" t="s">
        <v>79</v>
      </c>
      <c r="B70">
        <v>69</v>
      </c>
      <c r="C70">
        <v>-4.5</v>
      </c>
      <c r="D70">
        <v>-0.39761093285050397</v>
      </c>
      <c r="E70">
        <v>27824.3234495957</v>
      </c>
      <c r="F70">
        <v>-13.5960916630283</v>
      </c>
      <c r="G70">
        <v>5.2402699989433001</v>
      </c>
      <c r="H70">
        <v>-0.32346740028841198</v>
      </c>
      <c r="I70" t="b">
        <v>1</v>
      </c>
      <c r="J70">
        <v>1.01110899653824</v>
      </c>
      <c r="K70">
        <v>1.6719234001349601</v>
      </c>
    </row>
    <row r="71" spans="1:11" x14ac:dyDescent="0.25">
      <c r="A71" t="s">
        <v>80</v>
      </c>
      <c r="B71">
        <v>70</v>
      </c>
      <c r="C71">
        <v>-4.5</v>
      </c>
      <c r="D71">
        <v>-4.5</v>
      </c>
      <c r="E71">
        <v>25847.263902030099</v>
      </c>
      <c r="F71">
        <v>-1990.65563922865</v>
      </c>
      <c r="G71" t="s">
        <v>13</v>
      </c>
      <c r="H71" t="s">
        <v>13</v>
      </c>
      <c r="I71" t="b">
        <v>1</v>
      </c>
      <c r="J71">
        <v>1.01110899653824</v>
      </c>
      <c r="K71">
        <v>1.01110899653824</v>
      </c>
    </row>
    <row r="72" spans="1:11" x14ac:dyDescent="0.25">
      <c r="A72" t="s">
        <v>81</v>
      </c>
      <c r="B72">
        <v>71</v>
      </c>
      <c r="C72">
        <v>-3.0013724609179899</v>
      </c>
      <c r="D72">
        <v>2.2372593276427901</v>
      </c>
      <c r="E72">
        <v>27642.141908318499</v>
      </c>
      <c r="F72">
        <v>-195.77763294025101</v>
      </c>
      <c r="G72">
        <v>473.051641155867</v>
      </c>
      <c r="H72">
        <v>-70.770831529371407</v>
      </c>
      <c r="I72" t="b">
        <v>1</v>
      </c>
      <c r="J72">
        <v>1.0497187844315401</v>
      </c>
      <c r="K72">
        <v>10.367622489828801</v>
      </c>
    </row>
    <row r="73" spans="1:11" x14ac:dyDescent="0.25">
      <c r="A73" t="s">
        <v>82</v>
      </c>
      <c r="B73">
        <v>72</v>
      </c>
      <c r="C73">
        <v>-4.5</v>
      </c>
      <c r="D73">
        <v>-4.5</v>
      </c>
      <c r="E73">
        <v>27647.982409290398</v>
      </c>
      <c r="F73">
        <v>-189.937131968269</v>
      </c>
      <c r="G73" t="s">
        <v>13</v>
      </c>
      <c r="H73" t="s">
        <v>13</v>
      </c>
      <c r="I73" t="b">
        <v>1</v>
      </c>
      <c r="J73">
        <v>1.01110899653824</v>
      </c>
      <c r="K73">
        <v>1.01110899653824</v>
      </c>
    </row>
    <row r="74" spans="1:11" x14ac:dyDescent="0.25">
      <c r="A74" t="s">
        <v>83</v>
      </c>
      <c r="B74">
        <v>73</v>
      </c>
      <c r="C74">
        <v>-4.5</v>
      </c>
      <c r="D74">
        <v>-4.5</v>
      </c>
      <c r="E74">
        <v>26646.464963898801</v>
      </c>
      <c r="F74">
        <v>-1191.45457735991</v>
      </c>
      <c r="G74" t="s">
        <v>13</v>
      </c>
      <c r="H74" t="s">
        <v>13</v>
      </c>
      <c r="I74" t="b">
        <v>1</v>
      </c>
      <c r="J74">
        <v>1.01110899653824</v>
      </c>
      <c r="K74">
        <v>1.01110899653824</v>
      </c>
    </row>
    <row r="75" spans="1:11" x14ac:dyDescent="0.25">
      <c r="A75" t="s">
        <v>84</v>
      </c>
      <c r="B75">
        <v>74</v>
      </c>
      <c r="C75">
        <v>4.5</v>
      </c>
      <c r="D75">
        <v>4.5</v>
      </c>
      <c r="E75">
        <v>24647.362278272602</v>
      </c>
      <c r="F75">
        <v>-3190.5572629860999</v>
      </c>
      <c r="G75" t="s">
        <v>13</v>
      </c>
      <c r="H75" t="s">
        <v>13</v>
      </c>
      <c r="I75" t="b">
        <v>1</v>
      </c>
      <c r="J75">
        <v>91.017131300521797</v>
      </c>
      <c r="K75">
        <v>91.017131300521797</v>
      </c>
    </row>
    <row r="76" spans="1:11" x14ac:dyDescent="0.25">
      <c r="A76" t="s">
        <v>85</v>
      </c>
      <c r="B76">
        <v>75</v>
      </c>
      <c r="C76">
        <v>-4.5</v>
      </c>
      <c r="D76">
        <v>-4.5</v>
      </c>
      <c r="E76">
        <v>26696.953968604601</v>
      </c>
      <c r="F76">
        <v>-1140.96557265414</v>
      </c>
      <c r="G76">
        <v>1057.2568001233501</v>
      </c>
      <c r="H76">
        <v>7.2560301413345796</v>
      </c>
      <c r="I76" t="b">
        <v>1</v>
      </c>
      <c r="J76">
        <v>1.01110899653824</v>
      </c>
      <c r="K76">
        <v>1.01110899653824</v>
      </c>
    </row>
    <row r="77" spans="1:11" x14ac:dyDescent="0.25">
      <c r="A77" t="s">
        <v>86</v>
      </c>
      <c r="B77">
        <v>76</v>
      </c>
      <c r="C77">
        <v>-4.5</v>
      </c>
      <c r="D77">
        <v>4.5</v>
      </c>
      <c r="E77">
        <v>26933.853491789199</v>
      </c>
      <c r="F77">
        <v>-904.06604946947095</v>
      </c>
      <c r="G77">
        <v>595.91283658091004</v>
      </c>
      <c r="H77">
        <v>166.969492333554</v>
      </c>
      <c r="I77" t="b">
        <v>1</v>
      </c>
      <c r="J77">
        <v>1.01110899653824</v>
      </c>
      <c r="K77">
        <v>91.017131300521797</v>
      </c>
    </row>
    <row r="78" spans="1:11" x14ac:dyDescent="0.25">
      <c r="A78" t="s">
        <v>87</v>
      </c>
      <c r="B78">
        <v>77</v>
      </c>
      <c r="C78">
        <v>-4.5</v>
      </c>
      <c r="D78">
        <v>0.41270875319872902</v>
      </c>
      <c r="E78">
        <v>27691.009056587998</v>
      </c>
      <c r="F78">
        <v>-146.91048467070499</v>
      </c>
      <c r="G78">
        <v>610.87983238171603</v>
      </c>
      <c r="H78">
        <v>58.074598782736501</v>
      </c>
      <c r="I78" t="b">
        <v>1</v>
      </c>
      <c r="J78">
        <v>1.01110899653824</v>
      </c>
      <c r="K78">
        <v>2.5109049156230401</v>
      </c>
    </row>
    <row r="79" spans="1:11" x14ac:dyDescent="0.25">
      <c r="A79" t="s">
        <v>88</v>
      </c>
      <c r="B79">
        <v>78</v>
      </c>
      <c r="C79">
        <v>-4.5</v>
      </c>
      <c r="D79">
        <v>4.5</v>
      </c>
      <c r="E79">
        <v>25362.504300293898</v>
      </c>
      <c r="F79">
        <v>-2475.41524096476</v>
      </c>
      <c r="G79" t="s">
        <v>13</v>
      </c>
      <c r="H79" t="s">
        <v>13</v>
      </c>
      <c r="I79" t="b">
        <v>1</v>
      </c>
      <c r="J79">
        <v>1.01110899653824</v>
      </c>
      <c r="K79">
        <v>91.017131300521797</v>
      </c>
    </row>
    <row r="80" spans="1:11" x14ac:dyDescent="0.25">
      <c r="A80" t="s">
        <v>89</v>
      </c>
      <c r="B80">
        <v>79</v>
      </c>
      <c r="C80">
        <v>-4.5</v>
      </c>
      <c r="D80">
        <v>4.5</v>
      </c>
      <c r="E80">
        <v>27554.258040811201</v>
      </c>
      <c r="F80">
        <v>-283.66150044753198</v>
      </c>
      <c r="G80" t="s">
        <v>13</v>
      </c>
      <c r="H80" t="s">
        <v>13</v>
      </c>
      <c r="I80" t="b">
        <v>1</v>
      </c>
      <c r="J80">
        <v>1.01110899653824</v>
      </c>
      <c r="K80">
        <v>91.017131300521797</v>
      </c>
    </row>
    <row r="81" spans="1:11" x14ac:dyDescent="0.25">
      <c r="A81" t="s">
        <v>90</v>
      </c>
      <c r="B81">
        <v>80</v>
      </c>
      <c r="C81">
        <v>4.5</v>
      </c>
      <c r="D81">
        <v>-4.5</v>
      </c>
      <c r="E81">
        <v>23589.993212070101</v>
      </c>
      <c r="F81">
        <v>-4247.92632918864</v>
      </c>
      <c r="G81" t="s">
        <v>13</v>
      </c>
      <c r="H81" t="s">
        <v>13</v>
      </c>
      <c r="I81" t="b">
        <v>1</v>
      </c>
      <c r="J81">
        <v>91.017131300521797</v>
      </c>
      <c r="K81">
        <v>1.01110899653824</v>
      </c>
    </row>
    <row r="82" spans="1:11" x14ac:dyDescent="0.25">
      <c r="A82" t="s">
        <v>91</v>
      </c>
      <c r="B82">
        <v>81</v>
      </c>
      <c r="C82">
        <v>4.5</v>
      </c>
      <c r="D82">
        <v>-4.5</v>
      </c>
      <c r="E82">
        <v>27039.759567531099</v>
      </c>
      <c r="F82">
        <v>-798.15997372757602</v>
      </c>
      <c r="G82" t="s">
        <v>13</v>
      </c>
      <c r="H82" t="s">
        <v>13</v>
      </c>
      <c r="I82" t="b">
        <v>1</v>
      </c>
      <c r="J82">
        <v>91.017131300521797</v>
      </c>
      <c r="K82">
        <v>1.01110899653824</v>
      </c>
    </row>
    <row r="83" spans="1:11" x14ac:dyDescent="0.25">
      <c r="A83" t="s">
        <v>92</v>
      </c>
      <c r="B83">
        <v>82</v>
      </c>
      <c r="C83">
        <v>-1.7646920241531899E-2</v>
      </c>
      <c r="D83">
        <v>-2.8000321653962601</v>
      </c>
      <c r="E83">
        <v>27834.838098443699</v>
      </c>
      <c r="F83">
        <v>-3.08144281501154</v>
      </c>
      <c r="G83" t="s">
        <v>13</v>
      </c>
      <c r="H83" t="s">
        <v>13</v>
      </c>
      <c r="I83" t="b">
        <v>1</v>
      </c>
      <c r="J83">
        <v>1.9825078747663001</v>
      </c>
      <c r="K83">
        <v>1.0608081066769099</v>
      </c>
    </row>
    <row r="84" spans="1:11" x14ac:dyDescent="0.25">
      <c r="A84" t="s">
        <v>93</v>
      </c>
      <c r="B84">
        <v>83</v>
      </c>
      <c r="C84">
        <v>-4.5</v>
      </c>
      <c r="D84">
        <v>4.5</v>
      </c>
      <c r="E84">
        <v>27051.485963953499</v>
      </c>
      <c r="F84">
        <v>-786.43357730519301</v>
      </c>
      <c r="G84" t="s">
        <v>13</v>
      </c>
      <c r="H84" t="s">
        <v>13</v>
      </c>
      <c r="I84" t="b">
        <v>1</v>
      </c>
      <c r="J84">
        <v>1.01110899653824</v>
      </c>
      <c r="K84">
        <v>91.017131300521797</v>
      </c>
    </row>
    <row r="85" spans="1:11" x14ac:dyDescent="0.25">
      <c r="A85" t="s">
        <v>94</v>
      </c>
      <c r="B85">
        <v>84</v>
      </c>
      <c r="C85">
        <v>-4.1091421535384098</v>
      </c>
      <c r="D85">
        <v>0</v>
      </c>
      <c r="E85">
        <v>27829.353629897501</v>
      </c>
      <c r="F85">
        <v>-8.5659113611654902</v>
      </c>
      <c r="G85" t="s">
        <v>13</v>
      </c>
      <c r="H85" t="s">
        <v>13</v>
      </c>
      <c r="I85" t="b">
        <v>1</v>
      </c>
      <c r="J85">
        <v>1.0164218559165801</v>
      </c>
      <c r="K85">
        <v>2</v>
      </c>
    </row>
    <row r="86" spans="1:11" x14ac:dyDescent="0.25">
      <c r="A86" t="s">
        <v>95</v>
      </c>
      <c r="B86">
        <v>85</v>
      </c>
      <c r="C86">
        <v>-4.5</v>
      </c>
      <c r="D86">
        <v>0</v>
      </c>
      <c r="E86">
        <v>24361.5729889918</v>
      </c>
      <c r="F86">
        <v>-3476.3465522668898</v>
      </c>
      <c r="G86" t="s">
        <v>13</v>
      </c>
      <c r="H86" t="s">
        <v>13</v>
      </c>
      <c r="I86" t="b">
        <v>1</v>
      </c>
      <c r="J86">
        <v>1.01110899653824</v>
      </c>
      <c r="K86">
        <v>2</v>
      </c>
    </row>
    <row r="87" spans="1:11" x14ac:dyDescent="0.25">
      <c r="A87" t="s">
        <v>96</v>
      </c>
      <c r="B87">
        <v>86</v>
      </c>
      <c r="C87">
        <v>-4.5</v>
      </c>
      <c r="D87">
        <v>0</v>
      </c>
      <c r="E87">
        <v>27479.102147524602</v>
      </c>
      <c r="F87">
        <v>-358.81739373412699</v>
      </c>
      <c r="G87" t="s">
        <v>13</v>
      </c>
      <c r="H87" t="s">
        <v>13</v>
      </c>
      <c r="I87" t="b">
        <v>1</v>
      </c>
      <c r="J87">
        <v>1.01110899653824</v>
      </c>
      <c r="K87">
        <v>2</v>
      </c>
    </row>
  </sheetData>
  <conditionalFormatting sqref="F1:F1048576">
    <cfRule type="cellIs" dxfId="1" priority="1" operator="lessThan">
      <formula>-90</formula>
    </cfRule>
    <cfRule type="cellIs" dxfId="0" priority="2" operator="greaterThan"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0C49-D2FA-43EF-936D-780426A9B7A4}">
  <dimension ref="A1:W89"/>
  <sheetViews>
    <sheetView tabSelected="1" workbookViewId="0">
      <selection activeCell="O14" sqref="O14"/>
    </sheetView>
  </sheetViews>
  <sheetFormatPr defaultRowHeight="15" x14ac:dyDescent="0.25"/>
  <cols>
    <col min="2" max="2" width="25.140625" customWidth="1"/>
  </cols>
  <sheetData>
    <row r="1" spans="1:23" x14ac:dyDescent="0.25">
      <c r="A1" t="s">
        <v>110</v>
      </c>
    </row>
    <row r="2" spans="1:23" x14ac:dyDescent="0.25">
      <c r="A2" t="s">
        <v>105</v>
      </c>
      <c r="C2" t="s">
        <v>0</v>
      </c>
      <c r="D2" t="s">
        <v>1</v>
      </c>
      <c r="E2" t="s">
        <v>2</v>
      </c>
      <c r="F2" t="s">
        <v>3</v>
      </c>
      <c r="G2" s="5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23" x14ac:dyDescent="0.25">
      <c r="A3">
        <v>16</v>
      </c>
      <c r="B3" t="s">
        <v>42</v>
      </c>
      <c r="C3">
        <v>32</v>
      </c>
      <c r="D3">
        <v>-1.12631424400998</v>
      </c>
      <c r="E3">
        <v>-4.5</v>
      </c>
      <c r="F3">
        <v>13385.656660635699</v>
      </c>
      <c r="G3" s="5">
        <v>-14452.262880623</v>
      </c>
      <c r="H3">
        <v>712.33208565554798</v>
      </c>
      <c r="I3">
        <v>-5889.0384899318897</v>
      </c>
      <c r="J3" t="b">
        <v>1</v>
      </c>
      <c r="K3">
        <v>1.32422607505094</v>
      </c>
      <c r="L3">
        <v>1.01110899653824</v>
      </c>
      <c r="O3">
        <v>50</v>
      </c>
      <c r="P3" t="s">
        <v>97</v>
      </c>
      <c r="T3" t="s">
        <v>100</v>
      </c>
      <c r="W3" t="s">
        <v>101</v>
      </c>
    </row>
    <row r="4" spans="1:23" x14ac:dyDescent="0.25">
      <c r="A4">
        <v>17</v>
      </c>
      <c r="B4" t="s">
        <v>63</v>
      </c>
      <c r="C4">
        <v>53</v>
      </c>
      <c r="D4">
        <v>-4.5</v>
      </c>
      <c r="E4">
        <v>4.5</v>
      </c>
      <c r="F4">
        <v>13845.121136489601</v>
      </c>
      <c r="G4" s="5">
        <v>-13992.798404769101</v>
      </c>
      <c r="H4">
        <v>62.236418222510302</v>
      </c>
      <c r="I4">
        <v>4.6477795416441801</v>
      </c>
      <c r="J4" t="b">
        <v>1</v>
      </c>
      <c r="K4">
        <v>1.01110899653824</v>
      </c>
      <c r="L4">
        <v>91.017131300521797</v>
      </c>
      <c r="O4">
        <v>6</v>
      </c>
      <c r="P4" t="s">
        <v>98</v>
      </c>
      <c r="T4" t="s">
        <v>99</v>
      </c>
      <c r="W4" t="s">
        <v>107</v>
      </c>
    </row>
    <row r="5" spans="1:23" x14ac:dyDescent="0.25">
      <c r="A5">
        <v>18</v>
      </c>
      <c r="B5" t="s">
        <v>33</v>
      </c>
      <c r="C5">
        <v>23</v>
      </c>
      <c r="D5">
        <v>-4.5</v>
      </c>
      <c r="E5">
        <v>4.5</v>
      </c>
      <c r="F5">
        <v>17658.056806578501</v>
      </c>
      <c r="G5" s="5">
        <v>-10179.8627346802</v>
      </c>
      <c r="H5">
        <v>154.04779812656699</v>
      </c>
      <c r="I5">
        <v>40.232288101716001</v>
      </c>
      <c r="J5" t="b">
        <v>1</v>
      </c>
      <c r="K5">
        <v>1.01110899653824</v>
      </c>
      <c r="L5">
        <v>91.017131300521797</v>
      </c>
      <c r="O5">
        <v>9</v>
      </c>
      <c r="P5" t="s">
        <v>102</v>
      </c>
      <c r="S5">
        <v>1</v>
      </c>
      <c r="T5" s="2" t="s">
        <v>90</v>
      </c>
      <c r="V5">
        <v>1</v>
      </c>
      <c r="W5" s="3" t="s">
        <v>78</v>
      </c>
    </row>
    <row r="6" spans="1:23" x14ac:dyDescent="0.25">
      <c r="A6">
        <v>19</v>
      </c>
      <c r="B6" t="s">
        <v>75</v>
      </c>
      <c r="C6">
        <v>65</v>
      </c>
      <c r="D6">
        <v>-4.5</v>
      </c>
      <c r="E6">
        <v>-4.5</v>
      </c>
      <c r="F6">
        <v>20349.7714312961</v>
      </c>
      <c r="G6" s="5">
        <v>-7488.1481099626299</v>
      </c>
      <c r="H6">
        <v>41.7473536898841</v>
      </c>
      <c r="I6">
        <v>-7.64080504174333</v>
      </c>
      <c r="J6" t="b">
        <v>1</v>
      </c>
      <c r="K6">
        <v>1.01110899653824</v>
      </c>
      <c r="L6">
        <v>1.01110899653824</v>
      </c>
      <c r="O6">
        <f>((O3-1)-O4)/2</f>
        <v>21.5</v>
      </c>
      <c r="P6" t="s">
        <v>108</v>
      </c>
      <c r="S6">
        <v>2</v>
      </c>
      <c r="T6" s="2" t="s">
        <v>91</v>
      </c>
      <c r="V6">
        <v>2</v>
      </c>
      <c r="W6" s="3" t="s">
        <v>84</v>
      </c>
    </row>
    <row r="7" spans="1:23" x14ac:dyDescent="0.25">
      <c r="A7">
        <v>20</v>
      </c>
      <c r="B7" t="s">
        <v>73</v>
      </c>
      <c r="C7">
        <v>63</v>
      </c>
      <c r="D7">
        <v>-4.5</v>
      </c>
      <c r="E7">
        <v>-4.5</v>
      </c>
      <c r="F7">
        <v>21918.894285475199</v>
      </c>
      <c r="G7" s="5">
        <v>-5919.0252557834901</v>
      </c>
      <c r="H7">
        <v>52.019401534002299</v>
      </c>
      <c r="I7">
        <v>-10.4058224033513</v>
      </c>
      <c r="J7" t="b">
        <v>1</v>
      </c>
      <c r="K7">
        <v>1.01110899653824</v>
      </c>
      <c r="L7">
        <v>1.01110899653824</v>
      </c>
      <c r="O7">
        <f>O6+O4</f>
        <v>27.5</v>
      </c>
      <c r="P7" t="s">
        <v>109</v>
      </c>
      <c r="S7">
        <v>3</v>
      </c>
      <c r="T7" s="2" t="s">
        <v>92</v>
      </c>
      <c r="V7">
        <v>3</v>
      </c>
      <c r="W7" s="3" t="s">
        <v>88</v>
      </c>
    </row>
    <row r="8" spans="1:23" x14ac:dyDescent="0.25">
      <c r="A8">
        <v>8</v>
      </c>
      <c r="B8" s="3" t="s">
        <v>78</v>
      </c>
      <c r="C8">
        <v>68</v>
      </c>
      <c r="D8">
        <v>-4.5</v>
      </c>
      <c r="E8">
        <v>-4.5</v>
      </c>
      <c r="F8">
        <v>22398.618557883099</v>
      </c>
      <c r="G8" s="5">
        <v>-5439.3009833756596</v>
      </c>
      <c r="H8" t="s">
        <v>13</v>
      </c>
      <c r="I8" t="s">
        <v>13</v>
      </c>
      <c r="J8" t="b">
        <v>1</v>
      </c>
      <c r="K8">
        <v>1.01110899653824</v>
      </c>
      <c r="L8">
        <v>1.01110899653824</v>
      </c>
      <c r="S8">
        <v>4</v>
      </c>
      <c r="T8" s="2" t="s">
        <v>94</v>
      </c>
      <c r="V8">
        <v>4</v>
      </c>
      <c r="W8" s="3" t="s">
        <v>83</v>
      </c>
    </row>
    <row r="9" spans="1:23" x14ac:dyDescent="0.25">
      <c r="A9">
        <v>21</v>
      </c>
      <c r="B9" t="s">
        <v>43</v>
      </c>
      <c r="C9">
        <v>33</v>
      </c>
      <c r="D9">
        <v>4.5</v>
      </c>
      <c r="E9">
        <v>4.5</v>
      </c>
      <c r="F9">
        <v>22651.313199566401</v>
      </c>
      <c r="G9" s="5">
        <v>-5186.6063416923098</v>
      </c>
      <c r="H9">
        <v>32.198019225500197</v>
      </c>
      <c r="I9">
        <v>-48.656162899708796</v>
      </c>
      <c r="J9" t="b">
        <v>1</v>
      </c>
      <c r="K9">
        <v>91.017131300521797</v>
      </c>
      <c r="L9">
        <v>91.017131300521797</v>
      </c>
      <c r="S9">
        <v>5</v>
      </c>
      <c r="T9" s="2" t="s">
        <v>95</v>
      </c>
      <c r="V9">
        <v>5</v>
      </c>
      <c r="W9" s="3" t="s">
        <v>85</v>
      </c>
    </row>
    <row r="10" spans="1:23" x14ac:dyDescent="0.25">
      <c r="A10">
        <v>22</v>
      </c>
      <c r="B10" t="s">
        <v>61</v>
      </c>
      <c r="C10">
        <v>51</v>
      </c>
      <c r="D10">
        <v>-4.5</v>
      </c>
      <c r="E10">
        <v>-4.5</v>
      </c>
      <c r="F10">
        <v>23091.06085183</v>
      </c>
      <c r="G10" s="5">
        <v>-4746.85868942873</v>
      </c>
      <c r="H10">
        <v>114.82913699029601</v>
      </c>
      <c r="I10">
        <v>-84.769354520248498</v>
      </c>
      <c r="J10" t="b">
        <v>1</v>
      </c>
      <c r="K10">
        <v>1.01110899653824</v>
      </c>
      <c r="L10">
        <v>1.01110899653824</v>
      </c>
      <c r="S10">
        <v>6</v>
      </c>
      <c r="T10" s="2" t="s">
        <v>96</v>
      </c>
      <c r="V10">
        <v>6</v>
      </c>
      <c r="W10" s="3" t="s">
        <v>86</v>
      </c>
    </row>
    <row r="11" spans="1:23" x14ac:dyDescent="0.25">
      <c r="A11">
        <v>23</v>
      </c>
      <c r="B11" t="s">
        <v>35</v>
      </c>
      <c r="C11">
        <v>25</v>
      </c>
      <c r="D11">
        <v>-4.5</v>
      </c>
      <c r="E11">
        <v>4.5</v>
      </c>
      <c r="F11">
        <v>23509.583993365399</v>
      </c>
      <c r="G11" s="5">
        <v>-4328.3355478933099</v>
      </c>
      <c r="H11">
        <v>146.52256120519601</v>
      </c>
      <c r="I11">
        <v>27.094611050432601</v>
      </c>
      <c r="J11" t="b">
        <v>1</v>
      </c>
      <c r="K11">
        <v>1.01110899653824</v>
      </c>
      <c r="L11">
        <v>91.017131300521797</v>
      </c>
      <c r="V11">
        <v>7</v>
      </c>
      <c r="W11" s="3" t="s">
        <v>89</v>
      </c>
    </row>
    <row r="12" spans="1:23" x14ac:dyDescent="0.25">
      <c r="A12">
        <v>1</v>
      </c>
      <c r="B12" s="2" t="s">
        <v>90</v>
      </c>
      <c r="C12">
        <v>80</v>
      </c>
      <c r="D12">
        <v>4.5</v>
      </c>
      <c r="E12">
        <v>-4.5</v>
      </c>
      <c r="F12">
        <v>23589.993212070101</v>
      </c>
      <c r="G12" s="5">
        <v>-4247.92632918864</v>
      </c>
      <c r="H12" t="s">
        <v>13</v>
      </c>
      <c r="I12" t="s">
        <v>13</v>
      </c>
      <c r="J12" t="b">
        <v>1</v>
      </c>
      <c r="K12">
        <v>91.017131300521797</v>
      </c>
      <c r="L12">
        <v>1.01110899653824</v>
      </c>
      <c r="V12">
        <v>8</v>
      </c>
      <c r="W12" s="3" t="s">
        <v>87</v>
      </c>
    </row>
    <row r="13" spans="1:23" x14ac:dyDescent="0.25">
      <c r="A13">
        <v>24</v>
      </c>
      <c r="B13" t="s">
        <v>45</v>
      </c>
      <c r="C13">
        <v>35</v>
      </c>
      <c r="D13">
        <v>-4.5</v>
      </c>
      <c r="E13">
        <v>4.5</v>
      </c>
      <c r="F13">
        <v>23646.779850233299</v>
      </c>
      <c r="G13" s="5">
        <v>-4191.1396910253798</v>
      </c>
      <c r="H13">
        <v>36.781788443595097</v>
      </c>
      <c r="I13">
        <v>-5.2662395476690804</v>
      </c>
      <c r="J13" t="b">
        <v>1</v>
      </c>
      <c r="K13">
        <v>1.01110899653824</v>
      </c>
      <c r="L13">
        <v>91.017131300521797</v>
      </c>
      <c r="V13">
        <v>9</v>
      </c>
      <c r="W13" s="3" t="s">
        <v>93</v>
      </c>
    </row>
    <row r="14" spans="1:23" x14ac:dyDescent="0.25">
      <c r="A14">
        <v>25</v>
      </c>
      <c r="B14" t="s">
        <v>68</v>
      </c>
      <c r="C14">
        <v>58</v>
      </c>
      <c r="D14">
        <v>-4.5</v>
      </c>
      <c r="E14">
        <v>-4.5</v>
      </c>
      <c r="F14">
        <v>23951.1799348942</v>
      </c>
      <c r="G14" s="5">
        <v>-3886.7396063644901</v>
      </c>
      <c r="H14">
        <v>43.478541515800899</v>
      </c>
      <c r="I14">
        <v>0.61703152636610503</v>
      </c>
      <c r="J14" t="b">
        <v>1</v>
      </c>
      <c r="K14">
        <v>1.01110899653824</v>
      </c>
      <c r="L14">
        <v>1.01110899653824</v>
      </c>
      <c r="O14" t="s">
        <v>113</v>
      </c>
    </row>
    <row r="15" spans="1:23" x14ac:dyDescent="0.25">
      <c r="A15">
        <v>2</v>
      </c>
      <c r="B15" s="2" t="s">
        <v>95</v>
      </c>
      <c r="C15">
        <v>85</v>
      </c>
      <c r="D15">
        <v>-4.5</v>
      </c>
      <c r="E15">
        <v>0</v>
      </c>
      <c r="F15">
        <v>24361.5729889918</v>
      </c>
      <c r="G15" s="5">
        <v>-3476.3465522668898</v>
      </c>
      <c r="H15" t="s">
        <v>13</v>
      </c>
      <c r="I15" t="s">
        <v>13</v>
      </c>
      <c r="J15" t="b">
        <v>1</v>
      </c>
      <c r="K15">
        <v>1.01110899653824</v>
      </c>
      <c r="L15">
        <v>2</v>
      </c>
      <c r="O15" t="s">
        <v>114</v>
      </c>
    </row>
    <row r="16" spans="1:23" x14ac:dyDescent="0.25">
      <c r="A16">
        <v>9</v>
      </c>
      <c r="B16" s="3" t="s">
        <v>84</v>
      </c>
      <c r="C16">
        <v>74</v>
      </c>
      <c r="D16">
        <v>4.5</v>
      </c>
      <c r="E16">
        <v>4.5</v>
      </c>
      <c r="F16">
        <v>24647.362278272602</v>
      </c>
      <c r="G16" s="5">
        <v>-3190.5572629860999</v>
      </c>
      <c r="H16" t="s">
        <v>13</v>
      </c>
      <c r="I16" t="s">
        <v>13</v>
      </c>
      <c r="J16" t="b">
        <v>1</v>
      </c>
      <c r="K16">
        <v>91.017131300521797</v>
      </c>
      <c r="L16">
        <v>91.017131300521797</v>
      </c>
    </row>
    <row r="17" spans="1:16" x14ac:dyDescent="0.25">
      <c r="A17">
        <v>26</v>
      </c>
      <c r="B17" t="s">
        <v>71</v>
      </c>
      <c r="C17">
        <v>61</v>
      </c>
      <c r="D17">
        <v>-4.5</v>
      </c>
      <c r="E17">
        <v>-4.5</v>
      </c>
      <c r="F17">
        <v>25157.6281744732</v>
      </c>
      <c r="G17" s="5">
        <v>-2680.29136678547</v>
      </c>
      <c r="H17" t="s">
        <v>13</v>
      </c>
      <c r="I17" t="s">
        <v>13</v>
      </c>
      <c r="J17" t="b">
        <v>1</v>
      </c>
      <c r="K17">
        <v>1.01110899653824</v>
      </c>
      <c r="L17">
        <v>1.01110899653824</v>
      </c>
      <c r="O17" t="s">
        <v>106</v>
      </c>
    </row>
    <row r="18" spans="1:16" x14ac:dyDescent="0.25">
      <c r="A18">
        <v>10</v>
      </c>
      <c r="B18" s="3" t="s">
        <v>88</v>
      </c>
      <c r="C18">
        <v>78</v>
      </c>
      <c r="D18">
        <v>-4.5</v>
      </c>
      <c r="E18">
        <v>4.5</v>
      </c>
      <c r="F18">
        <v>25362.504300293898</v>
      </c>
      <c r="G18" s="5">
        <v>-2475.41524096476</v>
      </c>
      <c r="H18" t="s">
        <v>13</v>
      </c>
      <c r="I18" t="s">
        <v>13</v>
      </c>
      <c r="J18" t="b">
        <v>1</v>
      </c>
      <c r="K18">
        <v>1.01110899653824</v>
      </c>
      <c r="L18">
        <v>91.017131300521797</v>
      </c>
      <c r="P18" t="s">
        <v>104</v>
      </c>
    </row>
    <row r="19" spans="1:16" x14ac:dyDescent="0.25">
      <c r="A19">
        <v>27</v>
      </c>
      <c r="B19" t="s">
        <v>80</v>
      </c>
      <c r="C19">
        <v>70</v>
      </c>
      <c r="D19">
        <v>-4.5</v>
      </c>
      <c r="E19">
        <v>-4.5</v>
      </c>
      <c r="F19">
        <v>25847.263902030099</v>
      </c>
      <c r="G19" s="5">
        <v>-1990.65563922865</v>
      </c>
      <c r="H19" t="s">
        <v>13</v>
      </c>
      <c r="I19" t="s">
        <v>13</v>
      </c>
      <c r="J19" t="b">
        <v>1</v>
      </c>
      <c r="K19">
        <v>1.01110899653824</v>
      </c>
      <c r="L19">
        <v>1.01110899653824</v>
      </c>
      <c r="O19" t="s">
        <v>103</v>
      </c>
    </row>
    <row r="20" spans="1:16" x14ac:dyDescent="0.25">
      <c r="B20" t="s">
        <v>34</v>
      </c>
      <c r="C20">
        <v>24</v>
      </c>
      <c r="D20">
        <v>4.5</v>
      </c>
      <c r="E20">
        <v>4.5</v>
      </c>
      <c r="F20">
        <v>26267.618616980501</v>
      </c>
      <c r="G20" s="5">
        <v>-1570.30092427826</v>
      </c>
      <c r="H20">
        <v>225.85876573056399</v>
      </c>
      <c r="I20">
        <v>71.206467750182199</v>
      </c>
      <c r="J20" t="b">
        <v>1</v>
      </c>
      <c r="K20">
        <v>91.017131300521797</v>
      </c>
      <c r="L20">
        <v>91.017131300521797</v>
      </c>
    </row>
    <row r="21" spans="1:16" x14ac:dyDescent="0.25">
      <c r="A21">
        <v>11</v>
      </c>
      <c r="B21" s="3" t="s">
        <v>83</v>
      </c>
      <c r="C21">
        <v>73</v>
      </c>
      <c r="D21">
        <v>-4.5</v>
      </c>
      <c r="E21">
        <v>-4.5</v>
      </c>
      <c r="F21">
        <v>26646.464963898801</v>
      </c>
      <c r="G21" s="5">
        <v>-1191.45457735991</v>
      </c>
      <c r="H21" t="s">
        <v>13</v>
      </c>
      <c r="I21" t="s">
        <v>13</v>
      </c>
      <c r="J21" t="b">
        <v>1</v>
      </c>
      <c r="K21">
        <v>1.01110899653824</v>
      </c>
      <c r="L21">
        <v>1.01110899653824</v>
      </c>
    </row>
    <row r="22" spans="1:16" x14ac:dyDescent="0.25">
      <c r="A22">
        <v>12</v>
      </c>
      <c r="B22" s="3" t="s">
        <v>85</v>
      </c>
      <c r="C22">
        <v>75</v>
      </c>
      <c r="D22">
        <v>-4.5</v>
      </c>
      <c r="E22">
        <v>-4.5</v>
      </c>
      <c r="F22">
        <v>26696.953968604601</v>
      </c>
      <c r="G22" s="5">
        <v>-1140.96557265414</v>
      </c>
      <c r="H22">
        <v>1057.2568001233501</v>
      </c>
      <c r="I22">
        <v>7.2560301413345796</v>
      </c>
      <c r="J22" t="b">
        <v>1</v>
      </c>
      <c r="K22">
        <v>1.01110899653824</v>
      </c>
      <c r="L22">
        <v>1.01110899653824</v>
      </c>
    </row>
    <row r="23" spans="1:16" x14ac:dyDescent="0.25">
      <c r="B23" t="s">
        <v>32</v>
      </c>
      <c r="C23">
        <v>22</v>
      </c>
      <c r="D23">
        <v>-4.5</v>
      </c>
      <c r="E23">
        <v>-4.5</v>
      </c>
      <c r="F23">
        <v>26702.153209951899</v>
      </c>
      <c r="G23" s="5">
        <v>-1135.7663313068599</v>
      </c>
      <c r="H23" t="s">
        <v>13</v>
      </c>
      <c r="I23" t="s">
        <v>13</v>
      </c>
      <c r="J23" t="b">
        <v>1</v>
      </c>
      <c r="K23">
        <v>1.01110899653824</v>
      </c>
      <c r="L23">
        <v>1.01110899653824</v>
      </c>
    </row>
    <row r="24" spans="1:16" x14ac:dyDescent="0.25">
      <c r="B24" t="s">
        <v>62</v>
      </c>
      <c r="C24">
        <v>52</v>
      </c>
      <c r="D24">
        <v>-4.5</v>
      </c>
      <c r="E24">
        <v>-4.5</v>
      </c>
      <c r="F24">
        <v>26759.524614408801</v>
      </c>
      <c r="G24" s="5">
        <v>-1078.39492684994</v>
      </c>
      <c r="H24">
        <v>39.925309943295197</v>
      </c>
      <c r="I24">
        <v>1.78913536365943</v>
      </c>
      <c r="J24" t="b">
        <v>1</v>
      </c>
      <c r="K24">
        <v>1.01110899653824</v>
      </c>
      <c r="L24">
        <v>1.01110899653824</v>
      </c>
    </row>
    <row r="25" spans="1:16" x14ac:dyDescent="0.25">
      <c r="B25" t="s">
        <v>76</v>
      </c>
      <c r="C25">
        <v>66</v>
      </c>
      <c r="D25">
        <v>-4.5</v>
      </c>
      <c r="E25">
        <v>2.7398472436520498</v>
      </c>
      <c r="F25">
        <v>26829.6737368461</v>
      </c>
      <c r="G25" s="5">
        <v>-1008.24580441259</v>
      </c>
      <c r="H25" t="s">
        <v>13</v>
      </c>
      <c r="I25" t="s">
        <v>13</v>
      </c>
      <c r="J25" t="b">
        <v>1</v>
      </c>
      <c r="K25">
        <v>1.01110899653824</v>
      </c>
      <c r="L25">
        <v>16.4846195417371</v>
      </c>
    </row>
    <row r="26" spans="1:16" x14ac:dyDescent="0.25">
      <c r="A26">
        <v>13</v>
      </c>
      <c r="B26" s="3" t="s">
        <v>86</v>
      </c>
      <c r="C26">
        <v>76</v>
      </c>
      <c r="D26">
        <v>-4.5</v>
      </c>
      <c r="E26">
        <v>4.5</v>
      </c>
      <c r="F26">
        <v>26933.853491789199</v>
      </c>
      <c r="G26" s="5">
        <v>-904.06604946947095</v>
      </c>
      <c r="H26">
        <v>595.91283658091004</v>
      </c>
      <c r="I26">
        <v>166.969492333554</v>
      </c>
      <c r="J26" t="b">
        <v>1</v>
      </c>
      <c r="K26">
        <v>1.01110899653824</v>
      </c>
      <c r="L26">
        <v>91.017131300521797</v>
      </c>
    </row>
    <row r="27" spans="1:16" x14ac:dyDescent="0.25">
      <c r="B27" t="s">
        <v>46</v>
      </c>
      <c r="C27">
        <v>36</v>
      </c>
      <c r="D27">
        <v>4.5</v>
      </c>
      <c r="E27">
        <v>4.5</v>
      </c>
      <c r="F27">
        <v>26936.555893273598</v>
      </c>
      <c r="G27" s="5">
        <v>-901.36364798510101</v>
      </c>
      <c r="H27">
        <v>450.856085534854</v>
      </c>
      <c r="I27">
        <v>89.462276573295</v>
      </c>
      <c r="J27" t="b">
        <v>1</v>
      </c>
      <c r="K27">
        <v>91.017131300521797</v>
      </c>
      <c r="L27">
        <v>91.017131300521797</v>
      </c>
    </row>
    <row r="28" spans="1:16" x14ac:dyDescent="0.25">
      <c r="B28" t="s">
        <v>28</v>
      </c>
      <c r="C28">
        <v>18</v>
      </c>
      <c r="D28">
        <v>2.8250278736354302</v>
      </c>
      <c r="E28">
        <v>2.8305360071847101</v>
      </c>
      <c r="F28">
        <v>26948.037806086799</v>
      </c>
      <c r="G28" s="5">
        <v>-889.88173517192604</v>
      </c>
      <c r="H28">
        <v>1072.2759080236599</v>
      </c>
      <c r="I28">
        <v>914.472801748699</v>
      </c>
      <c r="J28" t="b">
        <v>1</v>
      </c>
      <c r="K28">
        <v>17.861414968472602</v>
      </c>
      <c r="L28">
        <v>17.954546147972898</v>
      </c>
    </row>
    <row r="29" spans="1:16" x14ac:dyDescent="0.25">
      <c r="A29">
        <v>3</v>
      </c>
      <c r="B29" s="2" t="s">
        <v>91</v>
      </c>
      <c r="C29">
        <v>81</v>
      </c>
      <c r="D29">
        <v>4.5</v>
      </c>
      <c r="E29">
        <v>-4.5</v>
      </c>
      <c r="F29">
        <v>27039.759567531099</v>
      </c>
      <c r="G29" s="5">
        <v>-798.15997372757602</v>
      </c>
      <c r="H29" t="s">
        <v>13</v>
      </c>
      <c r="I29" t="s">
        <v>13</v>
      </c>
      <c r="J29" t="b">
        <v>1</v>
      </c>
      <c r="K29">
        <v>91.017131300521797</v>
      </c>
      <c r="L29">
        <v>1.01110899653824</v>
      </c>
    </row>
    <row r="30" spans="1:16" x14ac:dyDescent="0.25">
      <c r="A30">
        <v>9</v>
      </c>
      <c r="B30" s="3" t="s">
        <v>93</v>
      </c>
      <c r="C30">
        <v>83</v>
      </c>
      <c r="D30">
        <v>-4.5</v>
      </c>
      <c r="E30">
        <v>4.5</v>
      </c>
      <c r="F30">
        <v>27051.485963953499</v>
      </c>
      <c r="G30" s="5">
        <v>-786.43357730519301</v>
      </c>
      <c r="H30" t="s">
        <v>13</v>
      </c>
      <c r="I30" t="s">
        <v>13</v>
      </c>
      <c r="J30" t="b">
        <v>1</v>
      </c>
      <c r="K30">
        <v>1.01110899653824</v>
      </c>
      <c r="L30">
        <v>91.017131300521797</v>
      </c>
    </row>
    <row r="31" spans="1:16" x14ac:dyDescent="0.25">
      <c r="B31" t="s">
        <v>59</v>
      </c>
      <c r="C31">
        <v>49</v>
      </c>
      <c r="D31">
        <v>4.5</v>
      </c>
      <c r="E31">
        <v>-4.5</v>
      </c>
      <c r="F31">
        <v>27090.534169720599</v>
      </c>
      <c r="G31" s="5">
        <v>-747.38537153811205</v>
      </c>
      <c r="H31">
        <v>97.404095999476397</v>
      </c>
      <c r="I31">
        <v>-8.5686517853424196</v>
      </c>
      <c r="J31" t="b">
        <v>1</v>
      </c>
      <c r="K31">
        <v>91.017131300521797</v>
      </c>
      <c r="L31">
        <v>1.01110899653824</v>
      </c>
    </row>
    <row r="32" spans="1:16" x14ac:dyDescent="0.25">
      <c r="B32" t="s">
        <v>38</v>
      </c>
      <c r="C32">
        <v>28</v>
      </c>
      <c r="D32">
        <v>0</v>
      </c>
      <c r="E32">
        <v>4.5</v>
      </c>
      <c r="F32">
        <v>27128.1503173372</v>
      </c>
      <c r="G32" s="5">
        <v>-709.76922392153199</v>
      </c>
      <c r="H32" t="s">
        <v>13</v>
      </c>
      <c r="I32" t="s">
        <v>13</v>
      </c>
      <c r="J32" t="b">
        <v>1</v>
      </c>
      <c r="K32">
        <v>2</v>
      </c>
      <c r="L32">
        <v>91.017131300521797</v>
      </c>
    </row>
    <row r="33" spans="1:12" x14ac:dyDescent="0.25">
      <c r="B33" t="s">
        <v>31</v>
      </c>
      <c r="C33">
        <v>21</v>
      </c>
      <c r="D33">
        <v>-4.5</v>
      </c>
      <c r="E33">
        <v>4.5</v>
      </c>
      <c r="F33">
        <v>27138.941643294402</v>
      </c>
      <c r="G33" s="5">
        <v>-698.97789796426503</v>
      </c>
      <c r="H33">
        <v>510.97236681879099</v>
      </c>
      <c r="I33">
        <v>15.169545352893</v>
      </c>
      <c r="J33" t="b">
        <v>1</v>
      </c>
      <c r="K33">
        <v>1.01110899653824</v>
      </c>
      <c r="L33">
        <v>91.017131300521797</v>
      </c>
    </row>
    <row r="34" spans="1:12" x14ac:dyDescent="0.25">
      <c r="B34" t="s">
        <v>77</v>
      </c>
      <c r="C34">
        <v>67</v>
      </c>
      <c r="D34">
        <v>-4.5</v>
      </c>
      <c r="E34">
        <v>4.5</v>
      </c>
      <c r="F34">
        <v>27322.166685227301</v>
      </c>
      <c r="G34" s="5">
        <v>-515.75285603142402</v>
      </c>
      <c r="H34">
        <v>223.99894160869499</v>
      </c>
      <c r="I34">
        <v>52.085169226531001</v>
      </c>
      <c r="J34" t="b">
        <v>1</v>
      </c>
      <c r="K34">
        <v>1.01110899653824</v>
      </c>
      <c r="L34">
        <v>91.017131300521797</v>
      </c>
    </row>
    <row r="35" spans="1:12" x14ac:dyDescent="0.25">
      <c r="B35" t="s">
        <v>72</v>
      </c>
      <c r="C35">
        <v>62</v>
      </c>
      <c r="D35">
        <v>-4.5</v>
      </c>
      <c r="E35">
        <v>4.5</v>
      </c>
      <c r="F35">
        <v>27422.192207695101</v>
      </c>
      <c r="G35" s="5">
        <v>-415.72733356361601</v>
      </c>
      <c r="H35">
        <v>405.77337070700497</v>
      </c>
      <c r="I35">
        <v>37.8475706143293</v>
      </c>
      <c r="J35" t="b">
        <v>1</v>
      </c>
      <c r="K35">
        <v>1.01110899653824</v>
      </c>
      <c r="L35">
        <v>91.017131300521797</v>
      </c>
    </row>
    <row r="36" spans="1:12" x14ac:dyDescent="0.25">
      <c r="B36" t="s">
        <v>44</v>
      </c>
      <c r="C36">
        <v>34</v>
      </c>
      <c r="D36">
        <v>4.5</v>
      </c>
      <c r="E36">
        <v>2.0363470015288798</v>
      </c>
      <c r="F36">
        <v>27427.812593811399</v>
      </c>
      <c r="G36" s="5">
        <v>-410.10694744728602</v>
      </c>
      <c r="H36">
        <v>114.596509864485</v>
      </c>
      <c r="I36">
        <v>18.023026998572401</v>
      </c>
      <c r="J36" t="b">
        <v>1</v>
      </c>
      <c r="K36">
        <v>91.017131300521797</v>
      </c>
      <c r="L36">
        <v>8.6625666660824496</v>
      </c>
    </row>
    <row r="37" spans="1:12" x14ac:dyDescent="0.25">
      <c r="B37" t="s">
        <v>70</v>
      </c>
      <c r="C37">
        <v>60</v>
      </c>
      <c r="D37">
        <v>-4.5</v>
      </c>
      <c r="E37">
        <v>4.5</v>
      </c>
      <c r="F37">
        <v>27450.763109254302</v>
      </c>
      <c r="G37" s="5">
        <v>-387.15643200444202</v>
      </c>
      <c r="H37" t="s">
        <v>13</v>
      </c>
      <c r="I37" t="s">
        <v>13</v>
      </c>
      <c r="J37" t="b">
        <v>1</v>
      </c>
      <c r="K37">
        <v>1.01110899653824</v>
      </c>
      <c r="L37">
        <v>91.017131300521797</v>
      </c>
    </row>
    <row r="38" spans="1:12" x14ac:dyDescent="0.25">
      <c r="B38" t="s">
        <v>51</v>
      </c>
      <c r="C38">
        <v>41</v>
      </c>
      <c r="D38">
        <v>-4.5</v>
      </c>
      <c r="E38">
        <v>4.5</v>
      </c>
      <c r="F38">
        <v>27456.1572076626</v>
      </c>
      <c r="G38" s="5">
        <v>-381.76233359610302</v>
      </c>
      <c r="H38">
        <v>8.1924835824083395</v>
      </c>
      <c r="I38">
        <v>-5.3162295198193501</v>
      </c>
      <c r="J38" t="b">
        <v>1</v>
      </c>
      <c r="K38">
        <v>1.01110899653824</v>
      </c>
      <c r="L38">
        <v>91.017131300521797</v>
      </c>
    </row>
    <row r="39" spans="1:12" x14ac:dyDescent="0.25">
      <c r="A39">
        <v>4</v>
      </c>
      <c r="B39" s="2" t="s">
        <v>96</v>
      </c>
      <c r="C39">
        <v>86</v>
      </c>
      <c r="D39">
        <v>-4.5</v>
      </c>
      <c r="E39">
        <v>0</v>
      </c>
      <c r="F39">
        <v>27479.102147524602</v>
      </c>
      <c r="G39" s="5">
        <v>-358.81739373412699</v>
      </c>
      <c r="H39" t="s">
        <v>13</v>
      </c>
      <c r="I39" t="s">
        <v>13</v>
      </c>
      <c r="J39" t="b">
        <v>1</v>
      </c>
      <c r="K39">
        <v>1.01110899653824</v>
      </c>
      <c r="L39">
        <v>2</v>
      </c>
    </row>
    <row r="40" spans="1:12" x14ac:dyDescent="0.25">
      <c r="A40">
        <v>14</v>
      </c>
      <c r="B40" s="3" t="s">
        <v>89</v>
      </c>
      <c r="C40">
        <v>79</v>
      </c>
      <c r="D40">
        <v>-4.5</v>
      </c>
      <c r="E40">
        <v>4.5</v>
      </c>
      <c r="F40">
        <v>27554.258040811201</v>
      </c>
      <c r="G40" s="5">
        <v>-283.66150044753198</v>
      </c>
      <c r="H40" t="s">
        <v>13</v>
      </c>
      <c r="I40" t="s">
        <v>13</v>
      </c>
      <c r="J40" t="b">
        <v>1</v>
      </c>
      <c r="K40">
        <v>1.01110899653824</v>
      </c>
      <c r="L40">
        <v>91.017131300521797</v>
      </c>
    </row>
    <row r="41" spans="1:12" x14ac:dyDescent="0.25">
      <c r="B41" t="s">
        <v>52</v>
      </c>
      <c r="C41">
        <v>42</v>
      </c>
      <c r="D41">
        <v>-4.5</v>
      </c>
      <c r="E41">
        <v>-4.5</v>
      </c>
      <c r="F41">
        <v>27571.7147360415</v>
      </c>
      <c r="G41" s="5">
        <v>-266.20480521725398</v>
      </c>
      <c r="H41">
        <v>733.56819933795498</v>
      </c>
      <c r="I41">
        <v>-276.94033663470299</v>
      </c>
      <c r="J41" t="b">
        <v>1</v>
      </c>
      <c r="K41">
        <v>1.01110899653824</v>
      </c>
      <c r="L41">
        <v>1.01110899653824</v>
      </c>
    </row>
    <row r="42" spans="1:12" x14ac:dyDescent="0.25">
      <c r="B42" t="s">
        <v>69</v>
      </c>
      <c r="C42">
        <v>59</v>
      </c>
      <c r="D42">
        <v>-4.5</v>
      </c>
      <c r="E42">
        <v>4.5</v>
      </c>
      <c r="F42">
        <v>27577.095007715001</v>
      </c>
      <c r="G42" s="5">
        <v>-260.824533543695</v>
      </c>
      <c r="H42">
        <v>1241.80789943333</v>
      </c>
      <c r="I42">
        <v>-0.90297181613186694</v>
      </c>
      <c r="J42" t="b">
        <v>1</v>
      </c>
      <c r="K42">
        <v>1.01110899653824</v>
      </c>
      <c r="L42">
        <v>91.017131300521797</v>
      </c>
    </row>
    <row r="43" spans="1:12" x14ac:dyDescent="0.25">
      <c r="B43" t="s">
        <v>58</v>
      </c>
      <c r="C43">
        <v>48</v>
      </c>
      <c r="D43">
        <v>1.5640412221759901</v>
      </c>
      <c r="E43">
        <v>-4.5</v>
      </c>
      <c r="F43">
        <v>27578.041199179901</v>
      </c>
      <c r="G43" s="5">
        <v>-259.878342078846</v>
      </c>
      <c r="H43">
        <v>2004.2511479837101</v>
      </c>
      <c r="I43">
        <v>85.473659574686494</v>
      </c>
      <c r="J43" t="b">
        <v>1</v>
      </c>
      <c r="K43">
        <v>5.7780916107736404</v>
      </c>
      <c r="L43">
        <v>1.01110899653824</v>
      </c>
    </row>
    <row r="44" spans="1:12" x14ac:dyDescent="0.25">
      <c r="B44" t="s">
        <v>53</v>
      </c>
      <c r="C44">
        <v>43</v>
      </c>
      <c r="D44">
        <v>0.113389327689283</v>
      </c>
      <c r="E44">
        <v>-4.5</v>
      </c>
      <c r="F44">
        <v>27583.7762801553</v>
      </c>
      <c r="G44" s="5">
        <v>-254.14326110338499</v>
      </c>
      <c r="H44">
        <v>394.410484711751</v>
      </c>
      <c r="I44">
        <v>-250.65723947677401</v>
      </c>
      <c r="J44" t="b">
        <v>1</v>
      </c>
      <c r="K44">
        <v>2.1200679215275899</v>
      </c>
      <c r="L44">
        <v>1.01110899653824</v>
      </c>
    </row>
    <row r="45" spans="1:12" x14ac:dyDescent="0.25">
      <c r="B45" t="s">
        <v>81</v>
      </c>
      <c r="C45">
        <v>71</v>
      </c>
      <c r="D45">
        <v>-3.0013724609179899</v>
      </c>
      <c r="E45">
        <v>2.2372593276427901</v>
      </c>
      <c r="F45">
        <v>27642.141908318499</v>
      </c>
      <c r="G45" s="5">
        <v>-195.77763294025101</v>
      </c>
      <c r="H45">
        <v>473.051641155867</v>
      </c>
      <c r="I45">
        <v>-70.770831529371407</v>
      </c>
      <c r="J45" t="b">
        <v>1</v>
      </c>
      <c r="K45">
        <v>1.0497187844315401</v>
      </c>
      <c r="L45">
        <v>10.367622489828801</v>
      </c>
    </row>
    <row r="46" spans="1:12" x14ac:dyDescent="0.25">
      <c r="B46" t="s">
        <v>82</v>
      </c>
      <c r="C46">
        <v>72</v>
      </c>
      <c r="D46">
        <v>-4.5</v>
      </c>
      <c r="E46">
        <v>-4.5</v>
      </c>
      <c r="F46">
        <v>27647.982409290398</v>
      </c>
      <c r="G46" s="5">
        <v>-189.937131968269</v>
      </c>
      <c r="H46" t="s">
        <v>13</v>
      </c>
      <c r="I46" t="s">
        <v>13</v>
      </c>
      <c r="J46" t="b">
        <v>1</v>
      </c>
      <c r="K46">
        <v>1.01110899653824</v>
      </c>
      <c r="L46">
        <v>1.01110899653824</v>
      </c>
    </row>
    <row r="47" spans="1:12" x14ac:dyDescent="0.25">
      <c r="B47" t="s">
        <v>36</v>
      </c>
      <c r="C47">
        <v>26</v>
      </c>
      <c r="D47">
        <v>4.5</v>
      </c>
      <c r="E47">
        <v>1.90291052381633</v>
      </c>
      <c r="F47">
        <v>27684.2169450068</v>
      </c>
      <c r="G47" s="5">
        <v>-153.70259625195499</v>
      </c>
      <c r="H47">
        <v>1119.97131926561</v>
      </c>
      <c r="I47">
        <v>151.95022160399199</v>
      </c>
      <c r="J47" t="b">
        <v>1</v>
      </c>
      <c r="K47">
        <v>91.017131300521797</v>
      </c>
      <c r="L47">
        <v>7.7053822433845998</v>
      </c>
    </row>
    <row r="48" spans="1:12" x14ac:dyDescent="0.25">
      <c r="A48">
        <v>15</v>
      </c>
      <c r="B48" s="3" t="s">
        <v>87</v>
      </c>
      <c r="C48">
        <v>77</v>
      </c>
      <c r="D48">
        <v>-4.5</v>
      </c>
      <c r="E48">
        <v>0.41270875319872902</v>
      </c>
      <c r="F48">
        <v>27691.009056587998</v>
      </c>
      <c r="G48" s="5">
        <v>-146.91048467070499</v>
      </c>
      <c r="H48">
        <v>610.87983238171603</v>
      </c>
      <c r="I48">
        <v>58.074598782736501</v>
      </c>
      <c r="J48" t="b">
        <v>1</v>
      </c>
      <c r="K48">
        <v>1.01110899653824</v>
      </c>
      <c r="L48">
        <v>2.5109049156230401</v>
      </c>
    </row>
    <row r="49" spans="2:12" x14ac:dyDescent="0.25">
      <c r="B49" t="s">
        <v>47</v>
      </c>
      <c r="C49">
        <v>37</v>
      </c>
      <c r="D49">
        <v>2.9641226901380899</v>
      </c>
      <c r="E49">
        <v>-4.5</v>
      </c>
      <c r="F49">
        <v>27699.490658942501</v>
      </c>
      <c r="G49" s="5">
        <v>-138.42888231622399</v>
      </c>
      <c r="H49">
        <v>36.851036414181898</v>
      </c>
      <c r="I49">
        <v>-71.473181353584394</v>
      </c>
      <c r="J49" t="b">
        <v>1</v>
      </c>
      <c r="K49">
        <v>20.3776955386524</v>
      </c>
      <c r="L49">
        <v>1.01110899653824</v>
      </c>
    </row>
    <row r="50" spans="2:12" x14ac:dyDescent="0.25">
      <c r="B50" t="s">
        <v>39</v>
      </c>
      <c r="C50">
        <v>29</v>
      </c>
      <c r="D50">
        <v>-0.213508384547417</v>
      </c>
      <c r="E50">
        <v>0.56167147979017296</v>
      </c>
      <c r="F50">
        <v>27700.549659100099</v>
      </c>
      <c r="G50" s="5">
        <v>-137.36988215859299</v>
      </c>
      <c r="H50">
        <v>92.409121683727903</v>
      </c>
      <c r="I50">
        <v>-6.41396642343389</v>
      </c>
      <c r="J50" t="b">
        <v>1</v>
      </c>
      <c r="K50">
        <v>1.8077453875426699</v>
      </c>
      <c r="L50">
        <v>2.7536011609162201</v>
      </c>
    </row>
    <row r="51" spans="2:12" x14ac:dyDescent="0.25">
      <c r="B51" t="s">
        <v>49</v>
      </c>
      <c r="C51">
        <v>39</v>
      </c>
      <c r="D51">
        <v>-4.5</v>
      </c>
      <c r="E51">
        <v>-4.5</v>
      </c>
      <c r="F51">
        <v>27704.336362313999</v>
      </c>
      <c r="G51" s="5">
        <v>-133.583178944747</v>
      </c>
      <c r="H51">
        <v>2.7239490095527401</v>
      </c>
      <c r="I51">
        <v>-9.1985394001634706</v>
      </c>
      <c r="J51" t="b">
        <v>1</v>
      </c>
      <c r="K51">
        <v>1.01110899653824</v>
      </c>
      <c r="L51">
        <v>1.01110899653824</v>
      </c>
    </row>
    <row r="52" spans="2:12" x14ac:dyDescent="0.25">
      <c r="B52" t="s">
        <v>21</v>
      </c>
      <c r="C52">
        <v>11</v>
      </c>
      <c r="D52">
        <v>2.18217970588903</v>
      </c>
      <c r="E52">
        <v>-4.5</v>
      </c>
      <c r="F52">
        <v>27711.1019578222</v>
      </c>
      <c r="G52" s="5">
        <v>-126.817583436481</v>
      </c>
      <c r="H52">
        <v>-10.582307934549499</v>
      </c>
      <c r="I52">
        <v>-1.67075435128841</v>
      </c>
      <c r="J52" t="b">
        <v>1</v>
      </c>
      <c r="K52">
        <v>9.8656096347677096</v>
      </c>
      <c r="L52">
        <v>1.01110899653824</v>
      </c>
    </row>
    <row r="53" spans="2:12" x14ac:dyDescent="0.25">
      <c r="B53" t="s">
        <v>40</v>
      </c>
      <c r="C53">
        <v>30</v>
      </c>
      <c r="D53">
        <v>-4.5</v>
      </c>
      <c r="E53">
        <v>-4.5</v>
      </c>
      <c r="F53">
        <v>27732.563724370801</v>
      </c>
      <c r="G53" s="5">
        <v>-105.35581688795401</v>
      </c>
      <c r="H53">
        <v>151.539678440052</v>
      </c>
      <c r="I53">
        <v>-120.95088917407</v>
      </c>
      <c r="J53" t="b">
        <v>1</v>
      </c>
      <c r="K53">
        <v>1.01110899653824</v>
      </c>
      <c r="L53">
        <v>1.01110899653824</v>
      </c>
    </row>
    <row r="54" spans="2:12" x14ac:dyDescent="0.25">
      <c r="B54" t="s">
        <v>55</v>
      </c>
      <c r="C54">
        <v>45</v>
      </c>
      <c r="D54">
        <v>-4.5</v>
      </c>
      <c r="E54">
        <v>-4.5</v>
      </c>
      <c r="F54">
        <v>27763.664583297999</v>
      </c>
      <c r="G54" s="5">
        <v>-74.254957960696601</v>
      </c>
      <c r="H54">
        <v>10.428509721983</v>
      </c>
      <c r="I54">
        <v>-0.272771587645256</v>
      </c>
      <c r="J54" t="b">
        <v>1</v>
      </c>
      <c r="K54">
        <v>1.01110899653824</v>
      </c>
      <c r="L54">
        <v>1.01110899653824</v>
      </c>
    </row>
    <row r="55" spans="2:12" x14ac:dyDescent="0.25">
      <c r="B55" t="s">
        <v>14</v>
      </c>
      <c r="C55">
        <v>4</v>
      </c>
      <c r="D55">
        <v>0</v>
      </c>
      <c r="E55">
        <v>-4.5</v>
      </c>
      <c r="F55">
        <v>27769.113712457001</v>
      </c>
      <c r="G55" s="5">
        <v>-68.805828801687298</v>
      </c>
      <c r="H55" t="s">
        <v>13</v>
      </c>
      <c r="I55" t="s">
        <v>13</v>
      </c>
      <c r="J55" t="b">
        <v>1</v>
      </c>
      <c r="K55">
        <v>2</v>
      </c>
      <c r="L55">
        <v>1.01110899653824</v>
      </c>
    </row>
    <row r="56" spans="2:12" x14ac:dyDescent="0.25">
      <c r="B56" t="s">
        <v>57</v>
      </c>
      <c r="C56">
        <v>47</v>
      </c>
      <c r="D56">
        <v>-0.52318985803103102</v>
      </c>
      <c r="E56">
        <v>-4.5</v>
      </c>
      <c r="F56">
        <v>27774.001860565499</v>
      </c>
      <c r="G56" s="5">
        <v>-63.9176806931901</v>
      </c>
      <c r="H56">
        <v>61.426598705822698</v>
      </c>
      <c r="I56">
        <v>-66.274691850717801</v>
      </c>
      <c r="J56" t="b">
        <v>1</v>
      </c>
      <c r="K56">
        <v>1.5926271332931301</v>
      </c>
      <c r="L56">
        <v>1.01110899653824</v>
      </c>
    </row>
    <row r="57" spans="2:12" x14ac:dyDescent="0.25">
      <c r="B57" t="s">
        <v>37</v>
      </c>
      <c r="C57">
        <v>27</v>
      </c>
      <c r="D57">
        <v>-4.5</v>
      </c>
      <c r="E57">
        <v>-4.5</v>
      </c>
      <c r="F57">
        <v>27778.826161303299</v>
      </c>
      <c r="G57" s="5">
        <v>-59.093379955440497</v>
      </c>
      <c r="H57">
        <v>91.976296530045602</v>
      </c>
      <c r="I57">
        <v>-79.421754342750503</v>
      </c>
      <c r="J57" t="b">
        <v>1</v>
      </c>
      <c r="K57">
        <v>1.01110899653824</v>
      </c>
      <c r="L57">
        <v>1.01110899653824</v>
      </c>
    </row>
    <row r="58" spans="2:12" x14ac:dyDescent="0.25">
      <c r="B58" t="s">
        <v>48</v>
      </c>
      <c r="C58">
        <v>38</v>
      </c>
      <c r="D58">
        <v>-0.38771918661950999</v>
      </c>
      <c r="E58">
        <v>-4.5</v>
      </c>
      <c r="F58">
        <v>27788.368861395302</v>
      </c>
      <c r="G58" s="5">
        <v>-49.550679863372402</v>
      </c>
      <c r="H58">
        <v>760.23237180829699</v>
      </c>
      <c r="I58">
        <v>-55.038193559729301</v>
      </c>
      <c r="J58" t="b">
        <v>1</v>
      </c>
      <c r="K58">
        <v>1.6786028772785799</v>
      </c>
      <c r="L58">
        <v>1.01110899653824</v>
      </c>
    </row>
    <row r="59" spans="2:12" x14ac:dyDescent="0.25">
      <c r="B59" t="s">
        <v>18</v>
      </c>
      <c r="C59">
        <v>8</v>
      </c>
      <c r="D59">
        <v>1.5805399188324699E-3</v>
      </c>
      <c r="E59">
        <v>4.5</v>
      </c>
      <c r="F59">
        <v>27790.603400783599</v>
      </c>
      <c r="G59" s="5">
        <v>-47.316140475100802</v>
      </c>
      <c r="H59" t="s">
        <v>13</v>
      </c>
      <c r="I59" t="s">
        <v>13</v>
      </c>
      <c r="J59" t="b">
        <v>1</v>
      </c>
      <c r="K59">
        <v>2.0015817896303698</v>
      </c>
      <c r="L59">
        <v>91.017131300521797</v>
      </c>
    </row>
    <row r="60" spans="2:12" x14ac:dyDescent="0.25">
      <c r="B60" t="s">
        <v>67</v>
      </c>
      <c r="C60">
        <v>57</v>
      </c>
      <c r="D60">
        <v>-9.1735628301377103E-2</v>
      </c>
      <c r="E60">
        <v>-4.5</v>
      </c>
      <c r="F60">
        <v>27801.726412958898</v>
      </c>
      <c r="G60" s="5">
        <v>-36.193128299830299</v>
      </c>
      <c r="H60" t="s">
        <v>13</v>
      </c>
      <c r="I60" t="s">
        <v>13</v>
      </c>
      <c r="J60" t="b">
        <v>1</v>
      </c>
      <c r="K60">
        <v>1.9123463162102099</v>
      </c>
      <c r="L60">
        <v>1.01110899653824</v>
      </c>
    </row>
    <row r="61" spans="2:12" x14ac:dyDescent="0.25">
      <c r="B61" t="s">
        <v>56</v>
      </c>
      <c r="C61">
        <v>46</v>
      </c>
      <c r="D61">
        <v>-9.3555445346347799E-2</v>
      </c>
      <c r="E61">
        <v>4.5</v>
      </c>
      <c r="F61">
        <v>27803.815247856699</v>
      </c>
      <c r="G61" s="5">
        <v>-34.104293401982403</v>
      </c>
      <c r="H61">
        <v>15.360511330212599</v>
      </c>
      <c r="I61">
        <v>4.1888321536104502</v>
      </c>
      <c r="J61" t="b">
        <v>1</v>
      </c>
      <c r="K61">
        <v>1.9106875226412501</v>
      </c>
      <c r="L61">
        <v>91.017131300521797</v>
      </c>
    </row>
    <row r="62" spans="2:12" x14ac:dyDescent="0.25">
      <c r="B62" t="s">
        <v>30</v>
      </c>
      <c r="C62">
        <v>20</v>
      </c>
      <c r="D62">
        <v>3.2782740527181899</v>
      </c>
      <c r="E62">
        <v>3.1179677662294099</v>
      </c>
      <c r="F62">
        <v>27813.098149432299</v>
      </c>
      <c r="G62" s="5">
        <v>-24.821391826441001</v>
      </c>
      <c r="H62" t="s">
        <v>13</v>
      </c>
      <c r="I62" t="s">
        <v>13</v>
      </c>
      <c r="J62" t="b">
        <v>1</v>
      </c>
      <c r="K62">
        <v>27.529943877662699</v>
      </c>
      <c r="L62">
        <v>23.600403638501</v>
      </c>
    </row>
    <row r="63" spans="2:12" x14ac:dyDescent="0.25">
      <c r="B63" t="s">
        <v>54</v>
      </c>
      <c r="C63">
        <v>44</v>
      </c>
      <c r="D63">
        <v>-1.2877033386757799</v>
      </c>
      <c r="E63">
        <v>-4.5</v>
      </c>
      <c r="F63">
        <v>27814.712556834202</v>
      </c>
      <c r="G63" s="5">
        <v>-23.206984424501599</v>
      </c>
      <c r="H63">
        <v>70.614343254017797</v>
      </c>
      <c r="I63">
        <v>-14.427170559698199</v>
      </c>
      <c r="J63" t="b">
        <v>1</v>
      </c>
      <c r="K63">
        <v>1.27590371338602</v>
      </c>
      <c r="L63">
        <v>1.01110899653824</v>
      </c>
    </row>
    <row r="64" spans="2:12" x14ac:dyDescent="0.25">
      <c r="B64" t="s">
        <v>41</v>
      </c>
      <c r="C64">
        <v>31</v>
      </c>
      <c r="D64">
        <v>1.4114735514872601</v>
      </c>
      <c r="E64">
        <v>-1.4114735514872601</v>
      </c>
      <c r="F64">
        <v>27820.066741308499</v>
      </c>
      <c r="G64" s="5">
        <v>-17.852799950182099</v>
      </c>
      <c r="H64">
        <v>439.90699735754299</v>
      </c>
      <c r="I64">
        <v>-53.957344594085697</v>
      </c>
      <c r="J64" t="b">
        <v>1</v>
      </c>
      <c r="K64">
        <v>5.1019954543181996</v>
      </c>
      <c r="L64">
        <v>1.24378379038604</v>
      </c>
    </row>
    <row r="65" spans="1:12" x14ac:dyDescent="0.25">
      <c r="B65" t="s">
        <v>22</v>
      </c>
      <c r="C65">
        <v>12</v>
      </c>
      <c r="D65">
        <v>4.5</v>
      </c>
      <c r="E65">
        <v>4.5</v>
      </c>
      <c r="F65">
        <v>27822.032946103402</v>
      </c>
      <c r="G65" s="5">
        <v>-15.8865951553234</v>
      </c>
      <c r="H65">
        <v>371.78455802337902</v>
      </c>
      <c r="I65">
        <v>338.83677926708498</v>
      </c>
      <c r="J65" t="b">
        <v>1</v>
      </c>
      <c r="K65">
        <v>91.017131300521797</v>
      </c>
      <c r="L65">
        <v>91.017131300521797</v>
      </c>
    </row>
    <row r="66" spans="1:12" x14ac:dyDescent="0.25">
      <c r="B66" t="s">
        <v>79</v>
      </c>
      <c r="C66">
        <v>69</v>
      </c>
      <c r="D66">
        <v>-4.5</v>
      </c>
      <c r="E66">
        <v>-0.39761093285050397</v>
      </c>
      <c r="F66">
        <v>27824.3234495957</v>
      </c>
      <c r="G66" s="5">
        <v>-13.5960916630283</v>
      </c>
      <c r="H66">
        <v>5.2402699989433001</v>
      </c>
      <c r="I66">
        <v>-0.32346740028841198</v>
      </c>
      <c r="J66" t="b">
        <v>1</v>
      </c>
      <c r="K66">
        <v>1.01110899653824</v>
      </c>
      <c r="L66">
        <v>1.6719234001349601</v>
      </c>
    </row>
    <row r="67" spans="1:12" x14ac:dyDescent="0.25">
      <c r="B67" t="s">
        <v>23</v>
      </c>
      <c r="C67">
        <v>13</v>
      </c>
      <c r="D67">
        <v>-1.8466385881933601E-2</v>
      </c>
      <c r="E67">
        <v>4.5</v>
      </c>
      <c r="F67">
        <v>27825.053671457099</v>
      </c>
      <c r="G67" s="5">
        <v>-12.8658698016225</v>
      </c>
      <c r="H67" t="s">
        <v>13</v>
      </c>
      <c r="I67" t="s">
        <v>13</v>
      </c>
      <c r="J67" t="b">
        <v>1</v>
      </c>
      <c r="K67">
        <v>1.9817030731201899</v>
      </c>
      <c r="L67">
        <v>91.017131300521797</v>
      </c>
    </row>
    <row r="68" spans="1:12" x14ac:dyDescent="0.25">
      <c r="B68" t="s">
        <v>12</v>
      </c>
      <c r="C68">
        <v>3</v>
      </c>
      <c r="D68">
        <v>0</v>
      </c>
      <c r="E68">
        <v>-4.5</v>
      </c>
      <c r="F68">
        <v>27826.7189229469</v>
      </c>
      <c r="G68" s="5">
        <v>-11.200618311857401</v>
      </c>
      <c r="H68" t="s">
        <v>13</v>
      </c>
      <c r="I68" t="s">
        <v>13</v>
      </c>
      <c r="J68" t="b">
        <v>1</v>
      </c>
      <c r="K68">
        <v>2</v>
      </c>
      <c r="L68">
        <v>1.01110899653824</v>
      </c>
    </row>
    <row r="69" spans="1:12" x14ac:dyDescent="0.25">
      <c r="B69" t="s">
        <v>60</v>
      </c>
      <c r="C69">
        <v>50</v>
      </c>
      <c r="D69">
        <v>1.47889052095706</v>
      </c>
      <c r="E69">
        <v>-4.5</v>
      </c>
      <c r="F69">
        <v>27827.241764305702</v>
      </c>
      <c r="G69" s="5">
        <v>-10.677776952979899</v>
      </c>
      <c r="H69">
        <v>283.37417438300201</v>
      </c>
      <c r="I69">
        <v>-18.5426703426504</v>
      </c>
      <c r="J69" t="b">
        <v>1</v>
      </c>
      <c r="K69">
        <v>5.3880745024838896</v>
      </c>
      <c r="L69">
        <v>1.01110899653824</v>
      </c>
    </row>
    <row r="70" spans="1:12" x14ac:dyDescent="0.25">
      <c r="A70">
        <v>5</v>
      </c>
      <c r="B70" s="2" t="s">
        <v>94</v>
      </c>
      <c r="C70">
        <v>84</v>
      </c>
      <c r="D70">
        <v>-4.1091421535384098</v>
      </c>
      <c r="E70">
        <v>0</v>
      </c>
      <c r="F70">
        <v>27829.353629897501</v>
      </c>
      <c r="G70" s="5">
        <v>-8.5659113611654902</v>
      </c>
      <c r="H70" t="s">
        <v>13</v>
      </c>
      <c r="I70" t="s">
        <v>13</v>
      </c>
      <c r="J70" t="b">
        <v>1</v>
      </c>
      <c r="K70">
        <v>1.0164218559165801</v>
      </c>
      <c r="L70">
        <v>2</v>
      </c>
    </row>
    <row r="71" spans="1:12" x14ac:dyDescent="0.25">
      <c r="B71" t="s">
        <v>50</v>
      </c>
      <c r="C71">
        <v>40</v>
      </c>
      <c r="D71">
        <v>-4.5</v>
      </c>
      <c r="E71">
        <v>6.6786955358104097E-2</v>
      </c>
      <c r="F71">
        <v>27830.781641632799</v>
      </c>
      <c r="G71" s="5">
        <v>-7.1378996258790703</v>
      </c>
      <c r="H71">
        <v>25.978914853266399</v>
      </c>
      <c r="I71">
        <v>-14.2680970761515</v>
      </c>
      <c r="J71" t="b">
        <v>1</v>
      </c>
      <c r="K71">
        <v>1.01110899653824</v>
      </c>
      <c r="L71">
        <v>2.0690676947672499</v>
      </c>
    </row>
    <row r="72" spans="1:12" x14ac:dyDescent="0.25">
      <c r="B72" t="s">
        <v>66</v>
      </c>
      <c r="C72">
        <v>56</v>
      </c>
      <c r="D72">
        <v>-4.5</v>
      </c>
      <c r="E72">
        <v>-4.5</v>
      </c>
      <c r="F72">
        <v>27831.0667308128</v>
      </c>
      <c r="G72" s="5">
        <v>-6.8528104458964698</v>
      </c>
      <c r="H72" t="s">
        <v>13</v>
      </c>
      <c r="I72" t="s">
        <v>13</v>
      </c>
      <c r="J72" t="b">
        <v>1</v>
      </c>
      <c r="K72">
        <v>1.01110899653824</v>
      </c>
      <c r="L72">
        <v>1.01110899653824</v>
      </c>
    </row>
    <row r="73" spans="1:12" x14ac:dyDescent="0.25">
      <c r="B73" t="s">
        <v>19</v>
      </c>
      <c r="C73">
        <v>9</v>
      </c>
      <c r="D73">
        <v>1.9161052478011701E-2</v>
      </c>
      <c r="E73">
        <v>-3.4312966254219601</v>
      </c>
      <c r="F73">
        <v>27833.452674759199</v>
      </c>
      <c r="G73" s="5">
        <v>-4.4668664994824203</v>
      </c>
      <c r="H73" t="s">
        <v>13</v>
      </c>
      <c r="I73" t="s">
        <v>13</v>
      </c>
      <c r="J73" t="b">
        <v>1</v>
      </c>
      <c r="K73">
        <v>2.0193458035658902</v>
      </c>
      <c r="L73">
        <v>1.03234497425547</v>
      </c>
    </row>
    <row r="74" spans="1:12" x14ac:dyDescent="0.25">
      <c r="B74" t="s">
        <v>64</v>
      </c>
      <c r="C74">
        <v>54</v>
      </c>
      <c r="D74">
        <v>4.5</v>
      </c>
      <c r="E74">
        <v>4.5</v>
      </c>
      <c r="F74">
        <v>27834.166099446102</v>
      </c>
      <c r="G74" s="5">
        <v>-3.75344181262335</v>
      </c>
      <c r="H74">
        <v>38.813753236424297</v>
      </c>
      <c r="I74">
        <v>1.3929379591592499</v>
      </c>
      <c r="J74" t="b">
        <v>1</v>
      </c>
      <c r="K74">
        <v>91.017131300521797</v>
      </c>
      <c r="L74">
        <v>91.017131300521797</v>
      </c>
    </row>
    <row r="75" spans="1:12" x14ac:dyDescent="0.25">
      <c r="B75" t="s">
        <v>10</v>
      </c>
      <c r="C75">
        <v>1</v>
      </c>
      <c r="D75">
        <v>0</v>
      </c>
      <c r="E75">
        <v>2.1316823840607002</v>
      </c>
      <c r="F75">
        <v>27834.488728296601</v>
      </c>
      <c r="G75" s="5">
        <v>-3.4308129620803798</v>
      </c>
      <c r="H75">
        <v>-19.093629828646101</v>
      </c>
      <c r="I75">
        <v>1.50722888344497E-2</v>
      </c>
      <c r="J75" t="b">
        <v>1</v>
      </c>
      <c r="K75">
        <v>2</v>
      </c>
      <c r="L75">
        <v>9.4290357647051408</v>
      </c>
    </row>
    <row r="76" spans="1:12" x14ac:dyDescent="0.25">
      <c r="A76">
        <v>6</v>
      </c>
      <c r="B76" s="2" t="s">
        <v>92</v>
      </c>
      <c r="C76">
        <v>82</v>
      </c>
      <c r="D76">
        <v>-1.7646920241531899E-2</v>
      </c>
      <c r="E76">
        <v>-2.8000321653962601</v>
      </c>
      <c r="F76">
        <v>27834.838098443699</v>
      </c>
      <c r="G76" s="5">
        <v>-3.08144281501154</v>
      </c>
      <c r="H76" t="s">
        <v>13</v>
      </c>
      <c r="I76" t="s">
        <v>13</v>
      </c>
      <c r="J76" t="b">
        <v>1</v>
      </c>
      <c r="K76">
        <v>1.9825078747663001</v>
      </c>
      <c r="L76">
        <v>1.0608081066769099</v>
      </c>
    </row>
    <row r="77" spans="1:12" x14ac:dyDescent="0.25">
      <c r="B77" t="s">
        <v>11</v>
      </c>
      <c r="C77">
        <v>2</v>
      </c>
      <c r="D77">
        <v>0</v>
      </c>
      <c r="E77">
        <v>1.76474875843269</v>
      </c>
      <c r="F77">
        <v>27835.316812343299</v>
      </c>
      <c r="G77" s="5">
        <v>-2.6027289154226301</v>
      </c>
      <c r="H77">
        <v>-11.0381421155049</v>
      </c>
      <c r="I77">
        <v>-0.27013045495300902</v>
      </c>
      <c r="J77" t="b">
        <v>1</v>
      </c>
      <c r="K77">
        <v>2</v>
      </c>
      <c r="L77">
        <v>6.8401048966425604</v>
      </c>
    </row>
    <row r="78" spans="1:12" x14ac:dyDescent="0.25">
      <c r="B78" t="s">
        <v>65</v>
      </c>
      <c r="C78">
        <v>55</v>
      </c>
      <c r="D78">
        <v>0.118200044138561</v>
      </c>
      <c r="E78">
        <v>0.33890529759279497</v>
      </c>
      <c r="F78">
        <v>27837.249355921002</v>
      </c>
      <c r="G78" s="5">
        <v>-0.67018533772352396</v>
      </c>
      <c r="H78">
        <v>38.642993111760603</v>
      </c>
      <c r="I78">
        <v>1.89573179975569</v>
      </c>
      <c r="J78" t="b">
        <v>1</v>
      </c>
      <c r="K78">
        <v>2.1254692323725899</v>
      </c>
      <c r="L78">
        <v>2.4034104325729899</v>
      </c>
    </row>
    <row r="79" spans="1:12" x14ac:dyDescent="0.25">
      <c r="B79" t="s">
        <v>17</v>
      </c>
      <c r="C79">
        <v>7</v>
      </c>
      <c r="D79">
        <v>2.6533598429523398E-4</v>
      </c>
      <c r="E79">
        <v>0.77840044468757696</v>
      </c>
      <c r="F79">
        <v>27837.300171348801</v>
      </c>
      <c r="G79" s="5">
        <v>-0.61936990990579899</v>
      </c>
      <c r="H79" t="s">
        <v>13</v>
      </c>
      <c r="I79" t="s">
        <v>13</v>
      </c>
      <c r="J79" t="b">
        <v>1</v>
      </c>
      <c r="K79">
        <v>2.0002653711890002</v>
      </c>
      <c r="L79">
        <v>3.1779856691922399</v>
      </c>
    </row>
    <row r="80" spans="1:12" x14ac:dyDescent="0.25">
      <c r="B80" t="s">
        <v>20</v>
      </c>
      <c r="C80">
        <v>10</v>
      </c>
      <c r="D80">
        <v>3.4247077564941702E-3</v>
      </c>
      <c r="E80">
        <v>-0.64950734849844605</v>
      </c>
      <c r="F80">
        <v>27837.577018244301</v>
      </c>
      <c r="G80" s="5">
        <v>-0.34252301439118998</v>
      </c>
      <c r="H80" t="s">
        <v>13</v>
      </c>
      <c r="I80" t="s">
        <v>13</v>
      </c>
      <c r="J80" t="b">
        <v>1</v>
      </c>
      <c r="K80">
        <v>2.0034305787683602</v>
      </c>
      <c r="L80">
        <v>1.5223030267589099</v>
      </c>
    </row>
    <row r="81" spans="2:12" x14ac:dyDescent="0.25">
      <c r="B81" t="s">
        <v>29</v>
      </c>
      <c r="C81">
        <v>19</v>
      </c>
      <c r="D81">
        <v>0.26208013332507102</v>
      </c>
      <c r="E81">
        <v>0.38774218592152498</v>
      </c>
      <c r="F81">
        <v>27837.672079681801</v>
      </c>
      <c r="G81" s="5">
        <v>-0.2474615769097</v>
      </c>
      <c r="H81">
        <v>15.907323497079</v>
      </c>
      <c r="I81">
        <v>0.14310414390100401</v>
      </c>
      <c r="J81" t="b">
        <v>1</v>
      </c>
      <c r="K81">
        <v>2.2996306819847101</v>
      </c>
      <c r="L81">
        <v>2.4736498076414302</v>
      </c>
    </row>
    <row r="82" spans="2:12" x14ac:dyDescent="0.25">
      <c r="B82" t="s">
        <v>24</v>
      </c>
      <c r="C82">
        <v>14</v>
      </c>
      <c r="D82">
        <v>9.3006783572491293E-3</v>
      </c>
      <c r="E82">
        <v>-0.31950872835295702</v>
      </c>
      <c r="F82">
        <v>27837.829906722</v>
      </c>
      <c r="G82" s="5">
        <v>-8.9634536736412002E-2</v>
      </c>
      <c r="H82">
        <v>6.5230391315615703</v>
      </c>
      <c r="I82">
        <v>4.4761545842888504E-3</v>
      </c>
      <c r="J82" t="b">
        <v>1</v>
      </c>
      <c r="K82">
        <v>2.0093440640673998</v>
      </c>
      <c r="L82">
        <v>1.7265058611487301</v>
      </c>
    </row>
    <row r="83" spans="2:12" x14ac:dyDescent="0.25">
      <c r="B83" t="s">
        <v>74</v>
      </c>
      <c r="C83">
        <v>64</v>
      </c>
      <c r="D83">
        <v>8.2808202932938002E-2</v>
      </c>
      <c r="E83">
        <v>-0.30911693465896001</v>
      </c>
      <c r="F83">
        <v>27837.831631256598</v>
      </c>
      <c r="G83" s="5">
        <v>-8.7910002104763393E-2</v>
      </c>
      <c r="H83">
        <v>15.178098877474699</v>
      </c>
      <c r="I83">
        <v>4.01049230136152E-3</v>
      </c>
      <c r="J83" t="b">
        <v>1</v>
      </c>
      <c r="K83">
        <v>2.0863334329996701</v>
      </c>
      <c r="L83">
        <v>1.7340949238676</v>
      </c>
    </row>
    <row r="84" spans="2:12" x14ac:dyDescent="0.25">
      <c r="B84" t="s">
        <v>26</v>
      </c>
      <c r="C84">
        <v>16</v>
      </c>
      <c r="D84">
        <v>0.10145861597266</v>
      </c>
      <c r="E84">
        <v>-0.37809538298461098</v>
      </c>
      <c r="F84">
        <v>27837.849686047401</v>
      </c>
      <c r="G84" s="5">
        <v>-6.9855211317189997E-2</v>
      </c>
      <c r="H84">
        <v>25.076887768397</v>
      </c>
      <c r="I84">
        <v>4.17659261638086E-2</v>
      </c>
      <c r="J84" t="b">
        <v>1</v>
      </c>
      <c r="K84">
        <v>2.1067841142601198</v>
      </c>
      <c r="L84">
        <v>1.6851651444525599</v>
      </c>
    </row>
    <row r="85" spans="2:12" x14ac:dyDescent="0.25">
      <c r="B85" t="s">
        <v>27</v>
      </c>
      <c r="C85">
        <v>17</v>
      </c>
      <c r="D85">
        <v>2.6104589778697101E-3</v>
      </c>
      <c r="E85">
        <v>-8.6055186329758698E-2</v>
      </c>
      <c r="F85">
        <v>27837.912377598899</v>
      </c>
      <c r="G85" s="5">
        <v>-7.16365979678812E-3</v>
      </c>
      <c r="H85">
        <v>5.3293918791766304</v>
      </c>
      <c r="I85">
        <v>-9.41394784208072E-3</v>
      </c>
      <c r="J85" t="b">
        <v>1</v>
      </c>
      <c r="K85">
        <v>2.00261386919267</v>
      </c>
      <c r="L85">
        <v>1.91754359395958</v>
      </c>
    </row>
    <row r="86" spans="2:12" x14ac:dyDescent="0.25">
      <c r="B86" t="s">
        <v>15</v>
      </c>
      <c r="C86">
        <v>5</v>
      </c>
      <c r="D86">
        <v>1.74231954588322E-2</v>
      </c>
      <c r="E86">
        <v>8.7616728706052499E-2</v>
      </c>
      <c r="F86">
        <v>27837.9125809586</v>
      </c>
      <c r="G86" s="5">
        <v>-6.96030009567039E-3</v>
      </c>
      <c r="H86">
        <v>5.2076347891703296</v>
      </c>
      <c r="I86">
        <v>4.09517492200884E-3</v>
      </c>
      <c r="J86" t="b">
        <v>1</v>
      </c>
      <c r="K86">
        <v>2.0175758647019801</v>
      </c>
      <c r="L86">
        <v>2.0915696745222698</v>
      </c>
    </row>
    <row r="87" spans="2:12" x14ac:dyDescent="0.25">
      <c r="B87" t="s">
        <v>25</v>
      </c>
      <c r="C87">
        <v>15</v>
      </c>
      <c r="D87" s="1">
        <v>9.5036739367060404E-5</v>
      </c>
      <c r="E87">
        <v>-2.7572550607146699E-2</v>
      </c>
      <c r="F87">
        <v>27837.918786305901</v>
      </c>
      <c r="G87" s="5">
        <v>-7.5495286364457603E-4</v>
      </c>
      <c r="H87" t="s">
        <v>13</v>
      </c>
      <c r="I87" t="s">
        <v>13</v>
      </c>
      <c r="J87" t="b">
        <v>1</v>
      </c>
      <c r="K87">
        <v>2.0000950412554999</v>
      </c>
      <c r="L87">
        <v>1.9728041024648999</v>
      </c>
    </row>
    <row r="88" spans="2:12" x14ac:dyDescent="0.25">
      <c r="B88" t="s">
        <v>16</v>
      </c>
      <c r="C88">
        <v>6</v>
      </c>
      <c r="D88">
        <v>2.6937232178170201E-4</v>
      </c>
      <c r="E88">
        <v>-9.0797293523792195E-3</v>
      </c>
      <c r="F88">
        <v>27837.919468603501</v>
      </c>
      <c r="G88" s="6">
        <v>-7.2655198891880004E-5</v>
      </c>
      <c r="H88">
        <v>3.1825982552666501</v>
      </c>
      <c r="I88" s="1">
        <v>-6.4966435779467702E-5</v>
      </c>
      <c r="J88" t="b">
        <v>1</v>
      </c>
      <c r="K88">
        <v>2.0002694086057602</v>
      </c>
      <c r="L88">
        <v>1.99096136691513</v>
      </c>
    </row>
    <row r="89" spans="2:12" x14ac:dyDescent="0.25">
      <c r="G89" s="4">
        <f>SUM(G3:G88)</f>
        <v>-117160.73320243835</v>
      </c>
    </row>
  </sheetData>
  <sortState xmlns:xlrd2="http://schemas.microsoft.com/office/spreadsheetml/2017/richdata2" ref="B3:L88">
    <sortCondition ref="G3:G8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4556-F224-4384-A7EA-B7B55A24F545}">
  <dimension ref="A1:M88"/>
  <sheetViews>
    <sheetView workbookViewId="0">
      <selection activeCell="C30" sqref="C30"/>
    </sheetView>
  </sheetViews>
  <sheetFormatPr defaultRowHeight="15" x14ac:dyDescent="0.25"/>
  <cols>
    <col min="2" max="2" width="27.28515625" customWidth="1"/>
    <col min="3" max="3" width="16.5703125" customWidth="1"/>
  </cols>
  <sheetData>
    <row r="1" spans="1:13" x14ac:dyDescent="0.25">
      <c r="B1" t="s">
        <v>111</v>
      </c>
      <c r="C1" t="s">
        <v>112</v>
      </c>
    </row>
    <row r="2" spans="1:13" x14ac:dyDescent="0.25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 x14ac:dyDescent="0.25">
      <c r="A3">
        <v>16</v>
      </c>
      <c r="B3" s="7" t="s">
        <v>42</v>
      </c>
      <c r="C3" s="7" t="s">
        <v>42</v>
      </c>
      <c r="D3">
        <v>32</v>
      </c>
      <c r="E3">
        <v>-1.1406248487553801</v>
      </c>
      <c r="F3">
        <v>-4</v>
      </c>
      <c r="G3">
        <v>13392.5027228172</v>
      </c>
      <c r="H3">
        <v>-14445.416818441499</v>
      </c>
      <c r="I3">
        <v>719.16106818122</v>
      </c>
      <c r="J3">
        <v>-5882.2095074062199</v>
      </c>
      <c r="K3" t="b">
        <v>1</v>
      </c>
      <c r="L3">
        <v>1.31961924572</v>
      </c>
      <c r="M3">
        <v>1.01831563888873</v>
      </c>
    </row>
    <row r="4" spans="1:13" x14ac:dyDescent="0.25">
      <c r="A4">
        <v>17</v>
      </c>
      <c r="B4" s="7" t="s">
        <v>63</v>
      </c>
      <c r="C4" s="7" t="s">
        <v>63</v>
      </c>
      <c r="D4">
        <v>53</v>
      </c>
      <c r="E4">
        <v>-4</v>
      </c>
      <c r="F4">
        <v>4</v>
      </c>
      <c r="G4">
        <v>13892.3840894567</v>
      </c>
      <c r="H4">
        <v>-13945.535451801999</v>
      </c>
      <c r="I4">
        <v>62.165237920068897</v>
      </c>
      <c r="J4">
        <v>4.5765992392027997</v>
      </c>
      <c r="K4" t="b">
        <v>1</v>
      </c>
      <c r="L4">
        <v>1.01831563888873</v>
      </c>
      <c r="M4">
        <v>55.598150033144201</v>
      </c>
    </row>
    <row r="5" spans="1:13" x14ac:dyDescent="0.25">
      <c r="A5">
        <v>18</v>
      </c>
      <c r="B5" s="7" t="s">
        <v>33</v>
      </c>
      <c r="C5" s="7" t="s">
        <v>33</v>
      </c>
      <c r="D5">
        <v>23</v>
      </c>
      <c r="E5">
        <v>-4</v>
      </c>
      <c r="F5">
        <v>4</v>
      </c>
      <c r="G5">
        <v>18216.280018280198</v>
      </c>
      <c r="H5">
        <v>-9621.6395229785503</v>
      </c>
      <c r="I5">
        <v>151.278243462559</v>
      </c>
      <c r="J5">
        <v>37.462733437707598</v>
      </c>
      <c r="K5" t="b">
        <v>1</v>
      </c>
      <c r="L5">
        <v>1.01831563888873</v>
      </c>
      <c r="M5">
        <v>55.598150033144201</v>
      </c>
    </row>
    <row r="6" spans="1:13" x14ac:dyDescent="0.25">
      <c r="A6">
        <v>19</v>
      </c>
      <c r="B6" s="7" t="s">
        <v>75</v>
      </c>
      <c r="C6" s="7" t="s">
        <v>75</v>
      </c>
      <c r="D6">
        <v>65</v>
      </c>
      <c r="E6">
        <v>-4</v>
      </c>
      <c r="F6">
        <v>-4</v>
      </c>
      <c r="G6">
        <v>20901.387999991101</v>
      </c>
      <c r="H6">
        <v>-6936.53154126761</v>
      </c>
      <c r="I6">
        <v>41.791969925978599</v>
      </c>
      <c r="J6">
        <v>-7.5961888056487901</v>
      </c>
      <c r="K6" t="b">
        <v>1</v>
      </c>
      <c r="L6">
        <v>1.01831563888873</v>
      </c>
      <c r="M6">
        <v>1.01831563888873</v>
      </c>
    </row>
    <row r="7" spans="1:13" x14ac:dyDescent="0.25">
      <c r="A7">
        <v>20</v>
      </c>
      <c r="B7" s="7" t="s">
        <v>73</v>
      </c>
      <c r="C7" s="7" t="s">
        <v>73</v>
      </c>
      <c r="D7">
        <v>63</v>
      </c>
      <c r="E7">
        <v>-4</v>
      </c>
      <c r="F7">
        <v>-4</v>
      </c>
      <c r="G7">
        <v>22414.4992722885</v>
      </c>
      <c r="H7">
        <v>-5423.4202689702597</v>
      </c>
      <c r="I7">
        <v>52.054979575634597</v>
      </c>
      <c r="J7">
        <v>-10.370244361718999</v>
      </c>
      <c r="K7" t="b">
        <v>1</v>
      </c>
      <c r="L7">
        <v>1.01831563888873</v>
      </c>
      <c r="M7">
        <v>1.01831563888873</v>
      </c>
    </row>
    <row r="8" spans="1:13" x14ac:dyDescent="0.25">
      <c r="A8">
        <v>8</v>
      </c>
      <c r="B8" s="3" t="s">
        <v>78</v>
      </c>
      <c r="C8" s="7" t="s">
        <v>43</v>
      </c>
      <c r="D8">
        <v>33</v>
      </c>
      <c r="E8">
        <v>4</v>
      </c>
      <c r="F8">
        <v>4</v>
      </c>
      <c r="G8">
        <v>22722.284767732999</v>
      </c>
      <c r="H8">
        <v>-5115.6347735256704</v>
      </c>
      <c r="I8">
        <v>32.134166879093698</v>
      </c>
      <c r="J8">
        <v>-48.720015246115302</v>
      </c>
      <c r="K8" t="b">
        <v>1</v>
      </c>
      <c r="L8">
        <v>55.598150033144201</v>
      </c>
      <c r="M8">
        <v>55.598150033144201</v>
      </c>
    </row>
    <row r="9" spans="1:13" x14ac:dyDescent="0.25">
      <c r="A9">
        <v>21</v>
      </c>
      <c r="B9" s="7" t="s">
        <v>43</v>
      </c>
      <c r="C9" s="3" t="s">
        <v>78</v>
      </c>
      <c r="D9">
        <v>68</v>
      </c>
      <c r="E9">
        <v>-4</v>
      </c>
      <c r="F9">
        <v>-4</v>
      </c>
      <c r="G9">
        <v>22909.276893840801</v>
      </c>
      <c r="H9">
        <v>-4928.6426474179398</v>
      </c>
      <c r="I9" t="s">
        <v>13</v>
      </c>
      <c r="J9" t="s">
        <v>13</v>
      </c>
      <c r="K9" t="b">
        <v>1</v>
      </c>
      <c r="L9">
        <v>1.01831563888873</v>
      </c>
      <c r="M9">
        <v>1.01831563888873</v>
      </c>
    </row>
    <row r="10" spans="1:13" x14ac:dyDescent="0.25">
      <c r="A10">
        <v>22</v>
      </c>
      <c r="B10" s="7" t="s">
        <v>61</v>
      </c>
      <c r="C10" s="7" t="s">
        <v>61</v>
      </c>
      <c r="D10">
        <v>51</v>
      </c>
      <c r="E10">
        <v>-4</v>
      </c>
      <c r="F10">
        <v>-4</v>
      </c>
      <c r="G10">
        <v>23120.938225012</v>
      </c>
      <c r="H10">
        <v>-4716.9813162466999</v>
      </c>
      <c r="I10">
        <v>115.40784948667699</v>
      </c>
      <c r="J10">
        <v>-84.190642023867397</v>
      </c>
      <c r="K10" t="b">
        <v>1</v>
      </c>
      <c r="L10">
        <v>1.01831563888873</v>
      </c>
      <c r="M10">
        <v>1.01831563888873</v>
      </c>
    </row>
    <row r="11" spans="1:13" x14ac:dyDescent="0.25">
      <c r="A11">
        <v>23</v>
      </c>
      <c r="B11" s="7" t="s">
        <v>35</v>
      </c>
      <c r="C11" s="9" t="s">
        <v>28</v>
      </c>
      <c r="D11">
        <v>18</v>
      </c>
      <c r="E11">
        <v>-4</v>
      </c>
      <c r="F11">
        <v>4</v>
      </c>
      <c r="G11">
        <v>23436.767791077498</v>
      </c>
      <c r="H11">
        <v>-4401.1517501812596</v>
      </c>
      <c r="I11">
        <v>281.47857967541199</v>
      </c>
      <c r="J11">
        <v>123.675473400455</v>
      </c>
      <c r="K11" t="b">
        <v>1</v>
      </c>
      <c r="L11">
        <v>1.01831563888873</v>
      </c>
      <c r="M11">
        <v>55.598150033144201</v>
      </c>
    </row>
    <row r="12" spans="1:13" x14ac:dyDescent="0.25">
      <c r="A12">
        <v>1</v>
      </c>
      <c r="B12" s="2" t="s">
        <v>90</v>
      </c>
      <c r="C12" s="2" t="s">
        <v>90</v>
      </c>
      <c r="D12">
        <v>80</v>
      </c>
      <c r="E12">
        <v>4</v>
      </c>
      <c r="F12">
        <v>-4</v>
      </c>
      <c r="G12">
        <v>23626.787895597401</v>
      </c>
      <c r="H12">
        <v>-4211.1316456612903</v>
      </c>
      <c r="I12" t="s">
        <v>13</v>
      </c>
      <c r="J12" t="s">
        <v>13</v>
      </c>
      <c r="K12" t="b">
        <v>1</v>
      </c>
      <c r="L12">
        <v>55.598150033144201</v>
      </c>
      <c r="M12">
        <v>1.01831563888873</v>
      </c>
    </row>
    <row r="13" spans="1:13" x14ac:dyDescent="0.25">
      <c r="A13">
        <v>24</v>
      </c>
      <c r="B13" s="7" t="s">
        <v>45</v>
      </c>
      <c r="C13" s="7" t="s">
        <v>35</v>
      </c>
      <c r="D13">
        <v>25</v>
      </c>
      <c r="E13">
        <v>-4</v>
      </c>
      <c r="F13">
        <v>4</v>
      </c>
      <c r="G13">
        <v>23831.4982580244</v>
      </c>
      <c r="H13">
        <v>-4006.4212832343501</v>
      </c>
      <c r="I13">
        <v>145.82006835582001</v>
      </c>
      <c r="J13">
        <v>26.3921182010567</v>
      </c>
      <c r="K13" t="b">
        <v>1</v>
      </c>
      <c r="L13">
        <v>1.01831563888873</v>
      </c>
      <c r="M13">
        <v>55.598150033144201</v>
      </c>
    </row>
    <row r="14" spans="1:13" x14ac:dyDescent="0.25">
      <c r="A14">
        <v>25</v>
      </c>
      <c r="B14" s="7" t="s">
        <v>68</v>
      </c>
      <c r="C14" s="7" t="s">
        <v>45</v>
      </c>
      <c r="D14">
        <v>35</v>
      </c>
      <c r="E14">
        <v>-4</v>
      </c>
      <c r="F14">
        <v>4</v>
      </c>
      <c r="G14">
        <v>24049.034583213201</v>
      </c>
      <c r="H14">
        <v>-3788.8849580455499</v>
      </c>
      <c r="I14">
        <v>36.916644829396503</v>
      </c>
      <c r="J14">
        <v>-5.1313831618676797</v>
      </c>
      <c r="K14" t="b">
        <v>1</v>
      </c>
      <c r="L14">
        <v>1.01831563888873</v>
      </c>
      <c r="M14">
        <v>55.598150033144201</v>
      </c>
    </row>
    <row r="15" spans="1:13" x14ac:dyDescent="0.25">
      <c r="A15">
        <v>2</v>
      </c>
      <c r="B15" s="2" t="s">
        <v>95</v>
      </c>
      <c r="C15" s="7" t="s">
        <v>68</v>
      </c>
      <c r="D15">
        <v>58</v>
      </c>
      <c r="E15">
        <v>-4</v>
      </c>
      <c r="F15">
        <v>-4</v>
      </c>
      <c r="G15">
        <v>24375.064080021501</v>
      </c>
      <c r="H15">
        <v>-3462.85546123721</v>
      </c>
      <c r="I15">
        <v>43.512709390927597</v>
      </c>
      <c r="J15">
        <v>0.65119940149274702</v>
      </c>
      <c r="K15" t="b">
        <v>1</v>
      </c>
      <c r="L15">
        <v>1.01831563888873</v>
      </c>
      <c r="M15">
        <v>1.01831563888873</v>
      </c>
    </row>
    <row r="16" spans="1:13" x14ac:dyDescent="0.25">
      <c r="A16">
        <v>9</v>
      </c>
      <c r="B16" s="3" t="s">
        <v>84</v>
      </c>
      <c r="C16" s="3" t="s">
        <v>84</v>
      </c>
      <c r="D16">
        <v>74</v>
      </c>
      <c r="E16">
        <v>4</v>
      </c>
      <c r="F16">
        <v>4</v>
      </c>
      <c r="G16">
        <v>24735.538412267299</v>
      </c>
      <c r="H16">
        <v>-3102.3811289914302</v>
      </c>
      <c r="I16" t="s">
        <v>13</v>
      </c>
      <c r="J16" t="s">
        <v>13</v>
      </c>
      <c r="K16" t="b">
        <v>1</v>
      </c>
      <c r="L16">
        <v>55.598150033144201</v>
      </c>
      <c r="M16">
        <v>55.598150033144201</v>
      </c>
    </row>
    <row r="17" spans="1:13" x14ac:dyDescent="0.25">
      <c r="A17">
        <v>26</v>
      </c>
      <c r="B17" s="7" t="s">
        <v>71</v>
      </c>
      <c r="C17" s="2" t="s">
        <v>95</v>
      </c>
      <c r="D17">
        <v>85</v>
      </c>
      <c r="E17">
        <v>-4</v>
      </c>
      <c r="F17">
        <v>0</v>
      </c>
      <c r="G17">
        <v>24750.5995366848</v>
      </c>
      <c r="H17">
        <v>-3087.3200045738899</v>
      </c>
      <c r="I17" t="s">
        <v>13</v>
      </c>
      <c r="J17" t="s">
        <v>13</v>
      </c>
      <c r="K17" t="b">
        <v>1</v>
      </c>
      <c r="L17">
        <v>1.01831563888873</v>
      </c>
      <c r="M17">
        <v>2</v>
      </c>
    </row>
    <row r="18" spans="1:13" x14ac:dyDescent="0.25">
      <c r="A18">
        <v>10</v>
      </c>
      <c r="B18" s="3" t="s">
        <v>88</v>
      </c>
      <c r="C18" s="7" t="s">
        <v>71</v>
      </c>
      <c r="D18">
        <v>61</v>
      </c>
      <c r="E18">
        <v>-4</v>
      </c>
      <c r="F18">
        <v>-4</v>
      </c>
      <c r="G18">
        <v>25233.0858254989</v>
      </c>
      <c r="H18">
        <v>-2604.8337157598098</v>
      </c>
      <c r="I18" t="s">
        <v>13</v>
      </c>
      <c r="J18" t="s">
        <v>13</v>
      </c>
      <c r="K18" t="b">
        <v>1</v>
      </c>
      <c r="L18">
        <v>1.01831563888873</v>
      </c>
      <c r="M18">
        <v>1.01831563888873</v>
      </c>
    </row>
    <row r="19" spans="1:13" x14ac:dyDescent="0.25">
      <c r="A19">
        <v>27</v>
      </c>
      <c r="B19" s="8" t="s">
        <v>80</v>
      </c>
      <c r="C19" s="3" t="s">
        <v>88</v>
      </c>
      <c r="D19">
        <v>78</v>
      </c>
      <c r="E19">
        <v>-4</v>
      </c>
      <c r="F19">
        <v>4</v>
      </c>
      <c r="G19">
        <v>25418.890696519102</v>
      </c>
      <c r="H19">
        <v>-2419.0288447395701</v>
      </c>
      <c r="I19" t="s">
        <v>13</v>
      </c>
      <c r="J19" t="s">
        <v>13</v>
      </c>
      <c r="K19" t="b">
        <v>1</v>
      </c>
      <c r="L19">
        <v>1.01831563888873</v>
      </c>
      <c r="M19">
        <v>55.598150033144201</v>
      </c>
    </row>
    <row r="20" spans="1:13" x14ac:dyDescent="0.25">
      <c r="B20" t="s">
        <v>34</v>
      </c>
      <c r="C20" s="10" t="s">
        <v>80</v>
      </c>
      <c r="D20">
        <v>70</v>
      </c>
      <c r="E20">
        <v>-4</v>
      </c>
      <c r="F20">
        <v>-4</v>
      </c>
      <c r="G20">
        <v>26014.7639810193</v>
      </c>
      <c r="H20">
        <v>-1823.1555602394501</v>
      </c>
      <c r="I20" t="s">
        <v>13</v>
      </c>
      <c r="J20" t="s">
        <v>13</v>
      </c>
      <c r="K20" t="b">
        <v>1</v>
      </c>
      <c r="L20">
        <v>1.01831563888873</v>
      </c>
      <c r="M20">
        <v>1.01831563888873</v>
      </c>
    </row>
    <row r="21" spans="1:13" x14ac:dyDescent="0.25">
      <c r="A21">
        <v>11</v>
      </c>
      <c r="B21" s="3" t="s">
        <v>83</v>
      </c>
      <c r="C21" t="s">
        <v>34</v>
      </c>
      <c r="D21">
        <v>24</v>
      </c>
      <c r="E21">
        <v>4</v>
      </c>
      <c r="F21">
        <v>4</v>
      </c>
      <c r="G21">
        <v>26326.2115456764</v>
      </c>
      <c r="H21">
        <v>-1511.7079955822801</v>
      </c>
      <c r="I21">
        <v>222.08858728905599</v>
      </c>
      <c r="J21">
        <v>67.436289308674205</v>
      </c>
      <c r="K21" t="b">
        <v>1</v>
      </c>
      <c r="L21">
        <v>55.598150033144201</v>
      </c>
      <c r="M21">
        <v>55.598150033144201</v>
      </c>
    </row>
    <row r="22" spans="1:13" x14ac:dyDescent="0.25">
      <c r="A22">
        <v>12</v>
      </c>
      <c r="B22" s="3" t="s">
        <v>85</v>
      </c>
      <c r="C22" s="3" t="s">
        <v>85</v>
      </c>
      <c r="D22">
        <v>75</v>
      </c>
      <c r="E22">
        <v>-4</v>
      </c>
      <c r="F22">
        <v>-4</v>
      </c>
      <c r="G22">
        <v>26755.7501723563</v>
      </c>
      <c r="H22">
        <v>-1082.16936890237</v>
      </c>
      <c r="I22">
        <v>1057.0897889911901</v>
      </c>
      <c r="J22">
        <v>7.0890190091681697</v>
      </c>
      <c r="K22" t="b">
        <v>1</v>
      </c>
      <c r="L22">
        <v>1.01831563888873</v>
      </c>
      <c r="M22">
        <v>1.01831563888873</v>
      </c>
    </row>
    <row r="23" spans="1:13" x14ac:dyDescent="0.25">
      <c r="B23" t="s">
        <v>32</v>
      </c>
      <c r="C23" t="s">
        <v>62</v>
      </c>
      <c r="D23">
        <v>52</v>
      </c>
      <c r="E23">
        <v>-4</v>
      </c>
      <c r="F23">
        <v>-4</v>
      </c>
      <c r="G23">
        <v>26775.4831473181</v>
      </c>
      <c r="H23">
        <v>-1062.4363939406201</v>
      </c>
      <c r="I23">
        <v>39.897820414525299</v>
      </c>
      <c r="J23">
        <v>1.7616458348895101</v>
      </c>
      <c r="K23" t="b">
        <v>1</v>
      </c>
      <c r="L23">
        <v>1.01831563888873</v>
      </c>
      <c r="M23">
        <v>1.01831563888873</v>
      </c>
    </row>
    <row r="24" spans="1:13" x14ac:dyDescent="0.25">
      <c r="B24" t="s">
        <v>62</v>
      </c>
      <c r="C24" t="s">
        <v>83</v>
      </c>
      <c r="D24">
        <v>73</v>
      </c>
      <c r="E24">
        <v>-4</v>
      </c>
      <c r="F24">
        <v>-4</v>
      </c>
      <c r="G24">
        <v>26786.8048920293</v>
      </c>
      <c r="H24">
        <v>-1051.1146492293899</v>
      </c>
      <c r="I24" t="s">
        <v>13</v>
      </c>
      <c r="J24" t="s">
        <v>13</v>
      </c>
      <c r="K24" t="b">
        <v>1</v>
      </c>
      <c r="L24">
        <v>1.01831563888873</v>
      </c>
      <c r="M24">
        <v>1.01831563888873</v>
      </c>
    </row>
    <row r="25" spans="1:13" x14ac:dyDescent="0.25">
      <c r="B25" t="s">
        <v>76</v>
      </c>
      <c r="C25" t="s">
        <v>76</v>
      </c>
      <c r="D25">
        <v>66</v>
      </c>
      <c r="E25">
        <v>-4</v>
      </c>
      <c r="F25">
        <v>2.5251849601110199</v>
      </c>
      <c r="G25">
        <v>26858.305120343899</v>
      </c>
      <c r="H25">
        <v>-979.61442091479705</v>
      </c>
      <c r="I25" t="s">
        <v>13</v>
      </c>
      <c r="J25" t="s">
        <v>13</v>
      </c>
      <c r="K25" t="b">
        <v>1</v>
      </c>
      <c r="L25">
        <v>1.01831563888873</v>
      </c>
      <c r="M25">
        <v>13.493205794653001</v>
      </c>
    </row>
    <row r="26" spans="1:13" x14ac:dyDescent="0.25">
      <c r="A26">
        <v>13</v>
      </c>
      <c r="B26" s="3" t="s">
        <v>86</v>
      </c>
      <c r="C26" t="s">
        <v>32</v>
      </c>
      <c r="D26">
        <v>22</v>
      </c>
      <c r="E26">
        <v>-4</v>
      </c>
      <c r="F26">
        <v>-4</v>
      </c>
      <c r="G26">
        <v>26875.6745854332</v>
      </c>
      <c r="H26">
        <v>-962.24495582554698</v>
      </c>
      <c r="I26" t="s">
        <v>13</v>
      </c>
      <c r="J26" t="s">
        <v>13</v>
      </c>
      <c r="K26" t="b">
        <v>1</v>
      </c>
      <c r="L26">
        <v>1.01831563888873</v>
      </c>
      <c r="M26">
        <v>1.01831563888873</v>
      </c>
    </row>
    <row r="27" spans="1:13" x14ac:dyDescent="0.25">
      <c r="B27" t="s">
        <v>46</v>
      </c>
      <c r="C27" t="s">
        <v>46</v>
      </c>
      <c r="D27">
        <v>36</v>
      </c>
      <c r="E27">
        <v>4</v>
      </c>
      <c r="F27">
        <v>4</v>
      </c>
      <c r="G27">
        <v>26951.267601789099</v>
      </c>
      <c r="H27">
        <v>-886.651939469593</v>
      </c>
      <c r="I27">
        <v>448.72337487910698</v>
      </c>
      <c r="J27">
        <v>87.329565917547498</v>
      </c>
      <c r="K27" t="b">
        <v>1</v>
      </c>
      <c r="L27">
        <v>55.598150033144201</v>
      </c>
      <c r="M27">
        <v>55.598150033144201</v>
      </c>
    </row>
    <row r="28" spans="1:13" x14ac:dyDescent="0.25">
      <c r="B28" t="s">
        <v>28</v>
      </c>
      <c r="C28" s="3" t="s">
        <v>86</v>
      </c>
      <c r="D28">
        <v>76</v>
      </c>
      <c r="E28">
        <v>-4</v>
      </c>
      <c r="F28">
        <v>4</v>
      </c>
      <c r="G28">
        <v>26967.263447036599</v>
      </c>
      <c r="H28">
        <v>-870.65609422214004</v>
      </c>
      <c r="I28">
        <v>584.76998942568605</v>
      </c>
      <c r="J28">
        <v>155.82664517833001</v>
      </c>
      <c r="K28" t="b">
        <v>1</v>
      </c>
      <c r="L28">
        <v>1.01831563888873</v>
      </c>
      <c r="M28">
        <v>55.598150033144201</v>
      </c>
    </row>
    <row r="29" spans="1:13" x14ac:dyDescent="0.25">
      <c r="A29">
        <v>3</v>
      </c>
      <c r="B29" s="2" t="s">
        <v>91</v>
      </c>
      <c r="C29" s="2" t="s">
        <v>91</v>
      </c>
      <c r="D29">
        <v>81</v>
      </c>
      <c r="E29">
        <v>4</v>
      </c>
      <c r="F29">
        <v>-4</v>
      </c>
      <c r="G29">
        <v>27049.531571122301</v>
      </c>
      <c r="H29">
        <v>-788.387970136391</v>
      </c>
      <c r="I29" t="s">
        <v>13</v>
      </c>
      <c r="J29" t="s">
        <v>13</v>
      </c>
      <c r="K29" t="b">
        <v>1</v>
      </c>
      <c r="L29">
        <v>55.598150033144201</v>
      </c>
      <c r="M29">
        <v>1.01831563888873</v>
      </c>
    </row>
    <row r="30" spans="1:13" x14ac:dyDescent="0.25">
      <c r="A30">
        <v>9</v>
      </c>
      <c r="B30" s="3" t="s">
        <v>93</v>
      </c>
      <c r="C30" s="3" t="s">
        <v>93</v>
      </c>
      <c r="D30">
        <v>83</v>
      </c>
      <c r="E30">
        <v>-4</v>
      </c>
      <c r="F30">
        <v>4</v>
      </c>
      <c r="G30">
        <v>27069.4434439617</v>
      </c>
      <c r="H30">
        <v>-768.47609729702504</v>
      </c>
      <c r="I30" t="s">
        <v>13</v>
      </c>
      <c r="J30" t="s">
        <v>13</v>
      </c>
      <c r="K30" t="b">
        <v>1</v>
      </c>
      <c r="L30">
        <v>1.01831563888873</v>
      </c>
      <c r="M30">
        <v>55.598150033144201</v>
      </c>
    </row>
    <row r="31" spans="1:13" x14ac:dyDescent="0.25">
      <c r="C31" t="s">
        <v>59</v>
      </c>
      <c r="D31">
        <v>49</v>
      </c>
      <c r="E31">
        <v>4</v>
      </c>
      <c r="F31">
        <v>-4</v>
      </c>
      <c r="G31">
        <v>27095.733325563699</v>
      </c>
      <c r="H31">
        <v>-742.18621569497202</v>
      </c>
      <c r="I31">
        <v>97.528361970639395</v>
      </c>
      <c r="J31">
        <v>-8.4443858141793999</v>
      </c>
      <c r="K31" t="b">
        <v>1</v>
      </c>
      <c r="L31">
        <v>55.598150033144201</v>
      </c>
      <c r="M31">
        <v>1.01831563888873</v>
      </c>
    </row>
    <row r="32" spans="1:13" x14ac:dyDescent="0.25">
      <c r="C32" t="s">
        <v>38</v>
      </c>
      <c r="D32">
        <v>28</v>
      </c>
      <c r="E32">
        <v>0</v>
      </c>
      <c r="F32">
        <v>4</v>
      </c>
      <c r="G32">
        <v>27140.8183134963</v>
      </c>
      <c r="H32">
        <v>-697.10122776242895</v>
      </c>
      <c r="I32" t="s">
        <v>13</v>
      </c>
      <c r="J32" t="s">
        <v>13</v>
      </c>
      <c r="K32" t="b">
        <v>1</v>
      </c>
      <c r="L32">
        <v>2</v>
      </c>
      <c r="M32">
        <v>55.598150033144201</v>
      </c>
    </row>
    <row r="33" spans="3:13" x14ac:dyDescent="0.25">
      <c r="C33" t="s">
        <v>31</v>
      </c>
      <c r="D33">
        <v>21</v>
      </c>
      <c r="E33">
        <v>-4</v>
      </c>
      <c r="F33">
        <v>4</v>
      </c>
      <c r="G33">
        <v>27242.4941148781</v>
      </c>
      <c r="H33">
        <v>-595.42542638060695</v>
      </c>
      <c r="I33">
        <v>510.50180741880598</v>
      </c>
      <c r="J33">
        <v>14.6989859529074</v>
      </c>
      <c r="K33" t="b">
        <v>1</v>
      </c>
      <c r="L33">
        <v>1.01831563888873</v>
      </c>
      <c r="M33">
        <v>55.598150033144201</v>
      </c>
    </row>
    <row r="34" spans="3:13" x14ac:dyDescent="0.25">
      <c r="C34" t="s">
        <v>77</v>
      </c>
      <c r="D34">
        <v>67</v>
      </c>
      <c r="E34">
        <v>-4</v>
      </c>
      <c r="F34">
        <v>4</v>
      </c>
      <c r="G34">
        <v>27337.9251515654</v>
      </c>
      <c r="H34">
        <v>-499.99438969329998</v>
      </c>
      <c r="I34">
        <v>222.29105425551501</v>
      </c>
      <c r="J34">
        <v>50.377281873351201</v>
      </c>
      <c r="K34" t="b">
        <v>1</v>
      </c>
      <c r="L34">
        <v>1.01831563888873</v>
      </c>
      <c r="M34">
        <v>55.598150033144201</v>
      </c>
    </row>
    <row r="35" spans="3:13" x14ac:dyDescent="0.25">
      <c r="C35" t="s">
        <v>44</v>
      </c>
      <c r="D35">
        <v>34</v>
      </c>
      <c r="E35">
        <v>4</v>
      </c>
      <c r="F35">
        <v>4</v>
      </c>
      <c r="G35">
        <v>27433.241691752901</v>
      </c>
      <c r="H35">
        <v>-404.67784950580602</v>
      </c>
      <c r="I35">
        <v>119.125111974107</v>
      </c>
      <c r="J35">
        <v>22.551629108194899</v>
      </c>
      <c r="K35" t="b">
        <v>1</v>
      </c>
      <c r="L35">
        <v>55.598150033144201</v>
      </c>
      <c r="M35">
        <v>55.598150033144201</v>
      </c>
    </row>
    <row r="36" spans="3:13" x14ac:dyDescent="0.25">
      <c r="C36" t="s">
        <v>70</v>
      </c>
      <c r="D36">
        <v>60</v>
      </c>
      <c r="E36">
        <v>-4</v>
      </c>
      <c r="F36">
        <v>4</v>
      </c>
      <c r="G36">
        <v>27460.046498206801</v>
      </c>
      <c r="H36">
        <v>-377.87304305193902</v>
      </c>
      <c r="I36" t="s">
        <v>13</v>
      </c>
      <c r="J36" t="s">
        <v>13</v>
      </c>
      <c r="K36" t="b">
        <v>1</v>
      </c>
      <c r="L36">
        <v>1.01831563888873</v>
      </c>
      <c r="M36">
        <v>55.598150033144201</v>
      </c>
    </row>
    <row r="37" spans="3:13" x14ac:dyDescent="0.25">
      <c r="C37" t="s">
        <v>72</v>
      </c>
      <c r="D37">
        <v>62</v>
      </c>
      <c r="E37">
        <v>-4</v>
      </c>
      <c r="F37">
        <v>4</v>
      </c>
      <c r="G37">
        <v>27463.1733372565</v>
      </c>
      <c r="H37">
        <v>-374.74620400221499</v>
      </c>
      <c r="I37">
        <v>404.70246329055999</v>
      </c>
      <c r="J37">
        <v>36.776663197883401</v>
      </c>
      <c r="K37" t="b">
        <v>1</v>
      </c>
      <c r="L37">
        <v>1.01831563888873</v>
      </c>
      <c r="M37">
        <v>55.598150033144201</v>
      </c>
    </row>
    <row r="38" spans="3:13" x14ac:dyDescent="0.25">
      <c r="C38" t="s">
        <v>96</v>
      </c>
      <c r="D38">
        <v>86</v>
      </c>
      <c r="E38">
        <v>-4</v>
      </c>
      <c r="F38">
        <v>0</v>
      </c>
      <c r="G38">
        <v>27489.169677455498</v>
      </c>
      <c r="H38">
        <v>-348.74986380325203</v>
      </c>
      <c r="I38" t="s">
        <v>13</v>
      </c>
      <c r="J38" t="s">
        <v>13</v>
      </c>
      <c r="K38" t="b">
        <v>1</v>
      </c>
      <c r="L38">
        <v>1.01831563888873</v>
      </c>
      <c r="M38">
        <v>2</v>
      </c>
    </row>
    <row r="39" spans="3:13" x14ac:dyDescent="0.25">
      <c r="C39" t="s">
        <v>51</v>
      </c>
      <c r="D39">
        <v>41</v>
      </c>
      <c r="E39">
        <v>-4</v>
      </c>
      <c r="F39">
        <v>4</v>
      </c>
      <c r="G39">
        <v>27503.008871788101</v>
      </c>
      <c r="H39">
        <v>-334.910669470588</v>
      </c>
      <c r="I39">
        <v>8.3228707759136906</v>
      </c>
      <c r="J39">
        <v>-5.1858423263139999</v>
      </c>
      <c r="K39" t="b">
        <v>1</v>
      </c>
      <c r="L39">
        <v>1.01831563888873</v>
      </c>
      <c r="M39">
        <v>55.598150033144201</v>
      </c>
    </row>
    <row r="40" spans="3:13" x14ac:dyDescent="0.25">
      <c r="C40" t="s">
        <v>89</v>
      </c>
      <c r="D40">
        <v>79</v>
      </c>
      <c r="E40">
        <v>-4</v>
      </c>
      <c r="F40">
        <v>4</v>
      </c>
      <c r="G40">
        <v>27559.102982586999</v>
      </c>
      <c r="H40">
        <v>-278.81655867167098</v>
      </c>
      <c r="I40" t="s">
        <v>13</v>
      </c>
      <c r="J40" t="s">
        <v>13</v>
      </c>
      <c r="K40" t="b">
        <v>1</v>
      </c>
      <c r="L40">
        <v>1.01831563888873</v>
      </c>
      <c r="M40">
        <v>55.598150033144201</v>
      </c>
    </row>
    <row r="41" spans="3:13" x14ac:dyDescent="0.25">
      <c r="C41" t="s">
        <v>52</v>
      </c>
      <c r="D41">
        <v>42</v>
      </c>
      <c r="E41">
        <v>-4</v>
      </c>
      <c r="F41">
        <v>-4</v>
      </c>
      <c r="G41">
        <v>27574.262822126799</v>
      </c>
      <c r="H41">
        <v>-263.65671913194802</v>
      </c>
      <c r="I41">
        <v>736.25727838646696</v>
      </c>
      <c r="J41">
        <v>-274.251257586191</v>
      </c>
      <c r="K41" t="b">
        <v>1</v>
      </c>
      <c r="L41">
        <v>1.01831563888873</v>
      </c>
      <c r="M41">
        <v>1.01831563888873</v>
      </c>
    </row>
    <row r="42" spans="3:13" x14ac:dyDescent="0.25">
      <c r="C42" t="s">
        <v>58</v>
      </c>
      <c r="D42">
        <v>48</v>
      </c>
      <c r="E42">
        <v>-0.40042451213053898</v>
      </c>
      <c r="F42">
        <v>-4</v>
      </c>
      <c r="G42">
        <v>27578.6118284164</v>
      </c>
      <c r="H42">
        <v>-259.30771284231002</v>
      </c>
      <c r="I42">
        <v>2002.53791664552</v>
      </c>
      <c r="J42">
        <v>83.760428236491606</v>
      </c>
      <c r="K42" t="b">
        <v>1</v>
      </c>
      <c r="L42">
        <v>1.6700355474355799</v>
      </c>
      <c r="M42">
        <v>1.01831563888873</v>
      </c>
    </row>
    <row r="43" spans="3:13" x14ac:dyDescent="0.25">
      <c r="C43" t="s">
        <v>53</v>
      </c>
      <c r="D43">
        <v>43</v>
      </c>
      <c r="E43">
        <v>4</v>
      </c>
      <c r="F43">
        <v>-4</v>
      </c>
      <c r="G43">
        <v>27584.3393259267</v>
      </c>
      <c r="H43">
        <v>-253.58021533206201</v>
      </c>
      <c r="I43">
        <v>396.76666400966502</v>
      </c>
      <c r="J43">
        <v>-248.30106017886101</v>
      </c>
      <c r="K43" t="b">
        <v>1</v>
      </c>
      <c r="L43">
        <v>55.598150033144201</v>
      </c>
      <c r="M43">
        <v>1.01831563888873</v>
      </c>
    </row>
    <row r="44" spans="3:13" x14ac:dyDescent="0.25">
      <c r="C44" t="s">
        <v>69</v>
      </c>
      <c r="D44">
        <v>59</v>
      </c>
      <c r="E44">
        <v>-4</v>
      </c>
      <c r="F44">
        <v>4</v>
      </c>
      <c r="G44">
        <v>27603.333273848199</v>
      </c>
      <c r="H44">
        <v>-234.58626741047601</v>
      </c>
      <c r="I44">
        <v>1241.8335066936199</v>
      </c>
      <c r="J44">
        <v>-0.87736455584081297</v>
      </c>
      <c r="K44" t="b">
        <v>1</v>
      </c>
      <c r="L44">
        <v>1.01831563888873</v>
      </c>
      <c r="M44">
        <v>55.598150033144201</v>
      </c>
    </row>
    <row r="45" spans="3:13" x14ac:dyDescent="0.25">
      <c r="C45" t="s">
        <v>81</v>
      </c>
      <c r="D45">
        <v>71</v>
      </c>
      <c r="E45">
        <v>-4</v>
      </c>
      <c r="F45">
        <v>2.1291746596740802</v>
      </c>
      <c r="G45">
        <v>27639.711320432601</v>
      </c>
      <c r="H45">
        <v>-198.208220826131</v>
      </c>
      <c r="I45">
        <v>475.93511488612302</v>
      </c>
      <c r="J45">
        <v>-67.887357799115406</v>
      </c>
      <c r="K45" t="b">
        <v>1</v>
      </c>
      <c r="L45">
        <v>1.01831563888873</v>
      </c>
      <c r="M45">
        <v>9.4079245477825193</v>
      </c>
    </row>
    <row r="46" spans="3:13" x14ac:dyDescent="0.25">
      <c r="C46" t="s">
        <v>82</v>
      </c>
      <c r="D46">
        <v>72</v>
      </c>
      <c r="E46">
        <v>-4</v>
      </c>
      <c r="F46">
        <v>-4</v>
      </c>
      <c r="G46">
        <v>27651.641980871002</v>
      </c>
      <c r="H46">
        <v>-186.27756038771599</v>
      </c>
      <c r="I46" t="s">
        <v>13</v>
      </c>
      <c r="J46" t="s">
        <v>13</v>
      </c>
      <c r="K46" t="b">
        <v>1</v>
      </c>
      <c r="L46">
        <v>1.01831563888873</v>
      </c>
      <c r="M46">
        <v>1.01831563888873</v>
      </c>
    </row>
    <row r="47" spans="3:13" x14ac:dyDescent="0.25">
      <c r="C47" t="s">
        <v>36</v>
      </c>
      <c r="D47">
        <v>26</v>
      </c>
      <c r="E47">
        <v>4</v>
      </c>
      <c r="F47">
        <v>1.89066437292235</v>
      </c>
      <c r="G47">
        <v>27686.2958907629</v>
      </c>
      <c r="H47">
        <v>-151.62365049580001</v>
      </c>
      <c r="I47">
        <v>1118.9863384944799</v>
      </c>
      <c r="J47">
        <v>150.96524083285999</v>
      </c>
      <c r="K47" t="b">
        <v>1</v>
      </c>
      <c r="L47">
        <v>55.598150033144201</v>
      </c>
      <c r="M47">
        <v>7.6237678715475603</v>
      </c>
    </row>
    <row r="48" spans="3:13" x14ac:dyDescent="0.25">
      <c r="C48" t="s">
        <v>39</v>
      </c>
      <c r="D48">
        <v>29</v>
      </c>
      <c r="E48">
        <v>4</v>
      </c>
      <c r="F48">
        <v>0.63530188708396096</v>
      </c>
      <c r="G48">
        <v>27687.185571299098</v>
      </c>
      <c r="H48">
        <v>-150.733969959663</v>
      </c>
      <c r="I48">
        <v>93.159782513739401</v>
      </c>
      <c r="J48">
        <v>-5.6633055934223497</v>
      </c>
      <c r="K48" t="b">
        <v>1</v>
      </c>
      <c r="L48">
        <v>55.598150033144201</v>
      </c>
      <c r="M48">
        <v>2.8875918950666901</v>
      </c>
    </row>
    <row r="49" spans="3:13" x14ac:dyDescent="0.25">
      <c r="C49" t="s">
        <v>87</v>
      </c>
      <c r="D49">
        <v>77</v>
      </c>
      <c r="E49">
        <v>-4</v>
      </c>
      <c r="F49">
        <v>0.41551199105232101</v>
      </c>
      <c r="G49">
        <v>27693.3535620683</v>
      </c>
      <c r="H49">
        <v>-144.56597919042201</v>
      </c>
      <c r="I49">
        <v>609.98051488606495</v>
      </c>
      <c r="J49">
        <v>57.175281287085497</v>
      </c>
      <c r="K49" t="b">
        <v>1</v>
      </c>
      <c r="L49">
        <v>1.01831563888873</v>
      </c>
      <c r="M49">
        <v>2.5151462834797198</v>
      </c>
    </row>
    <row r="50" spans="3:13" x14ac:dyDescent="0.25">
      <c r="C50" t="s">
        <v>47</v>
      </c>
      <c r="D50">
        <v>37</v>
      </c>
      <c r="E50">
        <v>4</v>
      </c>
      <c r="F50">
        <v>-4</v>
      </c>
      <c r="G50">
        <v>27700.324446680101</v>
      </c>
      <c r="H50">
        <v>-137.59509457861699</v>
      </c>
      <c r="I50">
        <v>37.2371774875837</v>
      </c>
      <c r="J50">
        <v>-71.087040280182606</v>
      </c>
      <c r="K50" t="b">
        <v>1</v>
      </c>
      <c r="L50">
        <v>55.598150033144201</v>
      </c>
      <c r="M50">
        <v>1.01831563888873</v>
      </c>
    </row>
    <row r="51" spans="3:13" x14ac:dyDescent="0.25">
      <c r="C51" t="s">
        <v>21</v>
      </c>
      <c r="D51">
        <v>11</v>
      </c>
      <c r="E51">
        <v>4</v>
      </c>
      <c r="F51">
        <v>-4</v>
      </c>
      <c r="G51">
        <v>27712.290114531101</v>
      </c>
      <c r="H51">
        <v>-125.629426727577</v>
      </c>
      <c r="I51">
        <v>-10.5698214759627</v>
      </c>
      <c r="J51">
        <v>-1.6582678927016401</v>
      </c>
      <c r="K51" t="b">
        <v>1</v>
      </c>
      <c r="L51">
        <v>55.598150033144201</v>
      </c>
      <c r="M51">
        <v>1.01831563888873</v>
      </c>
    </row>
    <row r="52" spans="3:13" x14ac:dyDescent="0.25">
      <c r="C52" t="s">
        <v>49</v>
      </c>
      <c r="D52">
        <v>39</v>
      </c>
      <c r="E52">
        <v>-4</v>
      </c>
      <c r="F52">
        <v>0.76016389118405803</v>
      </c>
      <c r="G52">
        <v>27715.7243335903</v>
      </c>
      <c r="H52">
        <v>-122.19520766841001</v>
      </c>
      <c r="I52">
        <v>18.519254070222001</v>
      </c>
      <c r="J52">
        <v>6.59676566050583</v>
      </c>
      <c r="K52" t="b">
        <v>1</v>
      </c>
      <c r="L52">
        <v>1.01831563888873</v>
      </c>
      <c r="M52">
        <v>3.1386266938373999</v>
      </c>
    </row>
    <row r="53" spans="3:13" x14ac:dyDescent="0.25">
      <c r="C53" t="s">
        <v>40</v>
      </c>
      <c r="D53">
        <v>30</v>
      </c>
      <c r="E53">
        <v>-4</v>
      </c>
      <c r="F53">
        <v>-4</v>
      </c>
      <c r="G53">
        <v>27733.041527379701</v>
      </c>
      <c r="H53">
        <v>-104.878013879035</v>
      </c>
      <c r="I53">
        <v>152.208744074159</v>
      </c>
      <c r="J53">
        <v>-120.28182353996201</v>
      </c>
      <c r="K53" t="b">
        <v>1</v>
      </c>
      <c r="L53">
        <v>1.01831563888873</v>
      </c>
      <c r="M53">
        <v>1.01831563888873</v>
      </c>
    </row>
    <row r="54" spans="3:13" x14ac:dyDescent="0.25">
      <c r="C54" t="s">
        <v>22</v>
      </c>
      <c r="D54">
        <v>12</v>
      </c>
      <c r="E54">
        <v>1.0534970646552499</v>
      </c>
      <c r="F54">
        <v>4</v>
      </c>
      <c r="G54">
        <v>27760.843252421</v>
      </c>
      <c r="H54">
        <v>-77.0762888376739</v>
      </c>
      <c r="I54">
        <v>170.58756889935799</v>
      </c>
      <c r="J54">
        <v>137.639790143064</v>
      </c>
      <c r="K54" t="b">
        <v>1</v>
      </c>
      <c r="L54">
        <v>3.8676620029387001</v>
      </c>
      <c r="M54">
        <v>55.598150033144201</v>
      </c>
    </row>
    <row r="55" spans="3:13" x14ac:dyDescent="0.25">
      <c r="C55" t="s">
        <v>55</v>
      </c>
      <c r="D55">
        <v>45</v>
      </c>
      <c r="E55">
        <v>-4</v>
      </c>
      <c r="F55">
        <v>-4</v>
      </c>
      <c r="G55">
        <v>27764.5289706968</v>
      </c>
      <c r="H55">
        <v>-73.390570561914501</v>
      </c>
      <c r="I55">
        <v>10.4283287081556</v>
      </c>
      <c r="J55">
        <v>-0.272952601472641</v>
      </c>
      <c r="K55" t="b">
        <v>1</v>
      </c>
      <c r="L55">
        <v>1.01831563888873</v>
      </c>
      <c r="M55">
        <v>1.01831563888873</v>
      </c>
    </row>
    <row r="56" spans="3:13" x14ac:dyDescent="0.25">
      <c r="C56" t="s">
        <v>14</v>
      </c>
      <c r="D56">
        <v>4</v>
      </c>
      <c r="E56">
        <v>0</v>
      </c>
      <c r="F56">
        <v>-4</v>
      </c>
      <c r="G56">
        <v>27769.917516867499</v>
      </c>
      <c r="H56">
        <v>-68.002024391258601</v>
      </c>
      <c r="I56" t="s">
        <v>13</v>
      </c>
      <c r="J56" t="s">
        <v>13</v>
      </c>
      <c r="K56" t="b">
        <v>1</v>
      </c>
      <c r="L56">
        <v>2</v>
      </c>
      <c r="M56">
        <v>1.01831563888873</v>
      </c>
    </row>
    <row r="57" spans="3:13" x14ac:dyDescent="0.25">
      <c r="C57" t="s">
        <v>57</v>
      </c>
      <c r="D57">
        <v>47</v>
      </c>
      <c r="E57">
        <v>0.16614765126364001</v>
      </c>
      <c r="F57">
        <v>-4</v>
      </c>
      <c r="G57">
        <v>27774.362080659099</v>
      </c>
      <c r="H57">
        <v>-63.557460599578903</v>
      </c>
      <c r="I57">
        <v>61.891987049649998</v>
      </c>
      <c r="J57">
        <v>-65.809303506890501</v>
      </c>
      <c r="K57" t="b">
        <v>1</v>
      </c>
      <c r="L57">
        <v>2.1807474277029701</v>
      </c>
      <c r="M57">
        <v>1.01831563888873</v>
      </c>
    </row>
    <row r="58" spans="3:13" x14ac:dyDescent="0.25">
      <c r="C58" t="s">
        <v>37</v>
      </c>
      <c r="D58">
        <v>27</v>
      </c>
      <c r="E58">
        <v>-4</v>
      </c>
      <c r="F58">
        <v>-4</v>
      </c>
      <c r="G58">
        <v>27779.0555358155</v>
      </c>
      <c r="H58">
        <v>-58.864005443239897</v>
      </c>
      <c r="I58">
        <v>92.480121639389793</v>
      </c>
      <c r="J58">
        <v>-78.917929233406298</v>
      </c>
      <c r="K58" t="b">
        <v>1</v>
      </c>
      <c r="L58">
        <v>1.01831563888873</v>
      </c>
      <c r="M58">
        <v>1.01831563888873</v>
      </c>
    </row>
    <row r="59" spans="3:13" x14ac:dyDescent="0.25">
      <c r="C59" t="s">
        <v>48</v>
      </c>
      <c r="D59">
        <v>38</v>
      </c>
      <c r="E59">
        <v>-4</v>
      </c>
      <c r="F59">
        <v>-4</v>
      </c>
      <c r="G59">
        <v>27788.658600120201</v>
      </c>
      <c r="H59">
        <v>-49.260941138501899</v>
      </c>
      <c r="I59">
        <v>760.76037996449099</v>
      </c>
      <c r="J59">
        <v>-54.510185403535303</v>
      </c>
      <c r="K59" t="b">
        <v>1</v>
      </c>
      <c r="L59">
        <v>1.01831563888873</v>
      </c>
      <c r="M59">
        <v>1.01831563888873</v>
      </c>
    </row>
    <row r="60" spans="3:13" x14ac:dyDescent="0.25">
      <c r="C60" t="s">
        <v>18</v>
      </c>
      <c r="D60">
        <v>8</v>
      </c>
      <c r="E60">
        <v>4</v>
      </c>
      <c r="F60">
        <v>4</v>
      </c>
      <c r="G60">
        <v>27791.279551439598</v>
      </c>
      <c r="H60">
        <v>-46.639989819144802</v>
      </c>
      <c r="I60" t="s">
        <v>13</v>
      </c>
      <c r="J60" t="s">
        <v>13</v>
      </c>
      <c r="K60" t="b">
        <v>1</v>
      </c>
      <c r="L60">
        <v>55.598150033144201</v>
      </c>
      <c r="M60">
        <v>55.598150033144201</v>
      </c>
    </row>
    <row r="61" spans="3:13" x14ac:dyDescent="0.25">
      <c r="C61" t="s">
        <v>67</v>
      </c>
      <c r="D61">
        <v>57</v>
      </c>
      <c r="E61">
        <v>-4</v>
      </c>
      <c r="F61">
        <v>-4</v>
      </c>
      <c r="G61">
        <v>27801.852766185199</v>
      </c>
      <c r="H61">
        <v>-36.066775073515601</v>
      </c>
      <c r="I61" t="s">
        <v>13</v>
      </c>
      <c r="J61" t="s">
        <v>13</v>
      </c>
      <c r="K61" t="b">
        <v>1</v>
      </c>
      <c r="L61">
        <v>1.01831563888873</v>
      </c>
      <c r="M61">
        <v>1.01831563888873</v>
      </c>
    </row>
    <row r="62" spans="3:13" x14ac:dyDescent="0.25">
      <c r="C62" t="s">
        <v>56</v>
      </c>
      <c r="D62">
        <v>46</v>
      </c>
      <c r="E62">
        <v>-4</v>
      </c>
      <c r="F62">
        <v>4</v>
      </c>
      <c r="G62">
        <v>27803.604115447401</v>
      </c>
      <c r="H62">
        <v>-34.3154258112991</v>
      </c>
      <c r="I62">
        <v>15.445676050722801</v>
      </c>
      <c r="J62">
        <v>4.2739968741206704</v>
      </c>
      <c r="K62" t="b">
        <v>1</v>
      </c>
      <c r="L62">
        <v>1.01831563888873</v>
      </c>
      <c r="M62">
        <v>55.598150033144201</v>
      </c>
    </row>
    <row r="63" spans="3:13" x14ac:dyDescent="0.25">
      <c r="C63" t="s">
        <v>41</v>
      </c>
      <c r="D63">
        <v>31</v>
      </c>
      <c r="E63">
        <v>4</v>
      </c>
      <c r="F63">
        <v>-0.38230941135096902</v>
      </c>
      <c r="G63">
        <v>27805.6046699986</v>
      </c>
      <c r="H63">
        <v>-32.314871260103203</v>
      </c>
      <c r="I63">
        <v>505.12304299958902</v>
      </c>
      <c r="J63">
        <v>11.258701047959599</v>
      </c>
      <c r="K63" t="b">
        <v>1</v>
      </c>
      <c r="L63">
        <v>55.598150033144201</v>
      </c>
      <c r="M63">
        <v>1.6822839141550401</v>
      </c>
    </row>
    <row r="64" spans="3:13" x14ac:dyDescent="0.25">
      <c r="C64" t="s">
        <v>30</v>
      </c>
      <c r="D64">
        <v>20</v>
      </c>
      <c r="E64">
        <v>4</v>
      </c>
      <c r="F64">
        <v>4</v>
      </c>
      <c r="G64">
        <v>27811.427728476599</v>
      </c>
      <c r="H64">
        <v>-26.491812782107399</v>
      </c>
      <c r="I64" t="s">
        <v>13</v>
      </c>
      <c r="J64" t="s">
        <v>13</v>
      </c>
      <c r="K64" t="b">
        <v>1</v>
      </c>
      <c r="L64">
        <v>55.598150033144201</v>
      </c>
      <c r="M64">
        <v>55.598150033144201</v>
      </c>
    </row>
    <row r="65" spans="3:13" x14ac:dyDescent="0.25">
      <c r="C65" t="s">
        <v>54</v>
      </c>
      <c r="D65">
        <v>44</v>
      </c>
      <c r="E65">
        <v>-4</v>
      </c>
      <c r="F65">
        <v>-4</v>
      </c>
      <c r="G65">
        <v>27814.370440258899</v>
      </c>
      <c r="H65">
        <v>-23.549100999771301</v>
      </c>
      <c r="I65">
        <v>70.758809031512101</v>
      </c>
      <c r="J65">
        <v>-14.282704782203901</v>
      </c>
      <c r="K65" t="b">
        <v>1</v>
      </c>
      <c r="L65">
        <v>1.01831563888873</v>
      </c>
      <c r="M65">
        <v>1.01831563888873</v>
      </c>
    </row>
    <row r="66" spans="3:13" x14ac:dyDescent="0.25">
      <c r="C66" t="s">
        <v>66</v>
      </c>
      <c r="D66">
        <v>56</v>
      </c>
      <c r="E66">
        <v>-4</v>
      </c>
      <c r="F66">
        <v>4</v>
      </c>
      <c r="G66">
        <v>27817.480718133</v>
      </c>
      <c r="H66">
        <v>-20.438823125750801</v>
      </c>
      <c r="I66" t="s">
        <v>13</v>
      </c>
      <c r="J66" t="s">
        <v>13</v>
      </c>
      <c r="K66" t="b">
        <v>1</v>
      </c>
      <c r="L66">
        <v>1.01831563888873</v>
      </c>
      <c r="M66">
        <v>55.598150033144201</v>
      </c>
    </row>
    <row r="67" spans="3:13" x14ac:dyDescent="0.25">
      <c r="C67" t="s">
        <v>64</v>
      </c>
      <c r="D67">
        <v>54</v>
      </c>
      <c r="E67">
        <v>1.7873637535815601</v>
      </c>
      <c r="F67">
        <v>1.0386534333453901</v>
      </c>
      <c r="G67">
        <v>27822.118099803902</v>
      </c>
      <c r="H67">
        <v>-15.801441454852499</v>
      </c>
      <c r="I67">
        <v>38.391788450292999</v>
      </c>
      <c r="J67">
        <v>0.97097317302797803</v>
      </c>
      <c r="K67" t="b">
        <v>1</v>
      </c>
      <c r="L67">
        <v>6.9736835882270398</v>
      </c>
      <c r="M67">
        <v>3.8254098489376598</v>
      </c>
    </row>
    <row r="68" spans="3:13" x14ac:dyDescent="0.25">
      <c r="C68" t="s">
        <v>79</v>
      </c>
      <c r="D68">
        <v>69</v>
      </c>
      <c r="E68">
        <v>-4</v>
      </c>
      <c r="F68">
        <v>-4</v>
      </c>
      <c r="G68">
        <v>27823.4252877457</v>
      </c>
      <c r="H68">
        <v>-14.494253512995799</v>
      </c>
      <c r="I68">
        <v>5.0647977566464499</v>
      </c>
      <c r="J68">
        <v>-0.49893964258526402</v>
      </c>
      <c r="K68" t="b">
        <v>1</v>
      </c>
      <c r="L68">
        <v>1.01831563888873</v>
      </c>
      <c r="M68">
        <v>1.01831563888873</v>
      </c>
    </row>
    <row r="69" spans="3:13" x14ac:dyDescent="0.25">
      <c r="C69" t="s">
        <v>23</v>
      </c>
      <c r="D69">
        <v>13</v>
      </c>
      <c r="E69">
        <v>-4</v>
      </c>
      <c r="F69">
        <v>4</v>
      </c>
      <c r="G69">
        <v>27825.211657430002</v>
      </c>
      <c r="H69">
        <v>-12.707883828719799</v>
      </c>
      <c r="I69" t="s">
        <v>13</v>
      </c>
      <c r="J69" t="s">
        <v>13</v>
      </c>
      <c r="K69" t="b">
        <v>1</v>
      </c>
      <c r="L69">
        <v>1.01831563888873</v>
      </c>
      <c r="M69">
        <v>55.598150033144201</v>
      </c>
    </row>
    <row r="70" spans="3:13" x14ac:dyDescent="0.25">
      <c r="C70" t="s">
        <v>60</v>
      </c>
      <c r="D70">
        <v>50</v>
      </c>
      <c r="E70">
        <v>4</v>
      </c>
      <c r="F70">
        <v>-4</v>
      </c>
      <c r="G70">
        <v>27826.038440966699</v>
      </c>
      <c r="H70">
        <v>-11.8811002920629</v>
      </c>
      <c r="I70">
        <v>283.57307644670402</v>
      </c>
      <c r="J70">
        <v>-18.3437682789482</v>
      </c>
      <c r="K70" t="b">
        <v>1</v>
      </c>
      <c r="L70">
        <v>55.598150033144201</v>
      </c>
      <c r="M70">
        <v>1.01831563888873</v>
      </c>
    </row>
    <row r="71" spans="3:13" x14ac:dyDescent="0.25">
      <c r="C71" t="s">
        <v>12</v>
      </c>
      <c r="D71">
        <v>3</v>
      </c>
      <c r="E71">
        <v>0</v>
      </c>
      <c r="F71">
        <v>-4</v>
      </c>
      <c r="G71">
        <v>27826.8556918186</v>
      </c>
      <c r="H71">
        <v>-11.0638494400991</v>
      </c>
      <c r="I71" t="s">
        <v>13</v>
      </c>
      <c r="J71" t="s">
        <v>13</v>
      </c>
      <c r="K71" t="b">
        <v>1</v>
      </c>
      <c r="L71">
        <v>2</v>
      </c>
      <c r="M71">
        <v>1.01831563888873</v>
      </c>
    </row>
    <row r="72" spans="3:13" x14ac:dyDescent="0.25">
      <c r="C72" s="3" t="s">
        <v>94</v>
      </c>
      <c r="D72">
        <v>84</v>
      </c>
      <c r="E72">
        <v>-4</v>
      </c>
      <c r="F72">
        <v>0</v>
      </c>
      <c r="G72">
        <v>27829.388466324999</v>
      </c>
      <c r="H72">
        <v>-8.5310749336968001</v>
      </c>
      <c r="I72" t="s">
        <v>13</v>
      </c>
      <c r="J72" t="s">
        <v>13</v>
      </c>
      <c r="K72" t="b">
        <v>1</v>
      </c>
      <c r="L72">
        <v>1.01831563888873</v>
      </c>
      <c r="M72">
        <v>2</v>
      </c>
    </row>
    <row r="73" spans="3:13" x14ac:dyDescent="0.25">
      <c r="C73" t="s">
        <v>50</v>
      </c>
      <c r="D73">
        <v>40</v>
      </c>
      <c r="E73">
        <v>-4</v>
      </c>
      <c r="F73">
        <v>0.79045119247794704</v>
      </c>
      <c r="G73">
        <v>27830.664943690299</v>
      </c>
      <c r="H73">
        <v>-7.2545975683897304</v>
      </c>
      <c r="I73">
        <v>28.6313677028966</v>
      </c>
      <c r="J73">
        <v>-11.6156442265214</v>
      </c>
      <c r="K73" t="b">
        <v>1</v>
      </c>
      <c r="L73">
        <v>1.01831563888873</v>
      </c>
      <c r="M73">
        <v>3.2043908064609599</v>
      </c>
    </row>
    <row r="74" spans="3:13" x14ac:dyDescent="0.25">
      <c r="C74" s="2" t="s">
        <v>92</v>
      </c>
      <c r="D74">
        <v>82</v>
      </c>
      <c r="E74">
        <v>4</v>
      </c>
      <c r="F74">
        <v>-4</v>
      </c>
      <c r="G74">
        <v>27832.413134446699</v>
      </c>
      <c r="H74">
        <v>-5.5064068120154799</v>
      </c>
      <c r="I74" t="s">
        <v>13</v>
      </c>
      <c r="J74" t="s">
        <v>13</v>
      </c>
      <c r="K74" t="b">
        <v>1</v>
      </c>
      <c r="L74">
        <v>55.598150033144201</v>
      </c>
      <c r="M74">
        <v>1.01831563888873</v>
      </c>
    </row>
    <row r="75" spans="3:13" x14ac:dyDescent="0.25">
      <c r="C75" t="s">
        <v>19</v>
      </c>
      <c r="D75">
        <v>9</v>
      </c>
      <c r="E75">
        <v>4</v>
      </c>
      <c r="F75">
        <v>-4</v>
      </c>
      <c r="G75">
        <v>27833.368951602301</v>
      </c>
      <c r="H75">
        <v>-4.5505896564100103</v>
      </c>
      <c r="I75" t="s">
        <v>13</v>
      </c>
      <c r="J75" t="s">
        <v>13</v>
      </c>
      <c r="K75" t="b">
        <v>1</v>
      </c>
      <c r="L75">
        <v>55.598150033144201</v>
      </c>
      <c r="M75">
        <v>1.01831563888873</v>
      </c>
    </row>
    <row r="76" spans="3:13" x14ac:dyDescent="0.25">
      <c r="C76" t="s">
        <v>10</v>
      </c>
      <c r="D76">
        <v>1</v>
      </c>
      <c r="E76">
        <v>0</v>
      </c>
      <c r="F76">
        <v>4</v>
      </c>
      <c r="G76">
        <v>27833.701693289298</v>
      </c>
      <c r="H76">
        <v>-4.2178479693720901</v>
      </c>
      <c r="I76">
        <v>-19.090055180299299</v>
      </c>
      <c r="J76">
        <v>1.8646937181209501E-2</v>
      </c>
      <c r="K76" t="b">
        <v>1</v>
      </c>
      <c r="L76">
        <v>2</v>
      </c>
      <c r="M76">
        <v>55.598150033144201</v>
      </c>
    </row>
    <row r="77" spans="3:13" x14ac:dyDescent="0.25">
      <c r="C77" t="s">
        <v>11</v>
      </c>
      <c r="D77">
        <v>2</v>
      </c>
      <c r="E77">
        <v>0</v>
      </c>
      <c r="F77">
        <v>4</v>
      </c>
      <c r="G77">
        <v>27834.318935967702</v>
      </c>
      <c r="H77">
        <v>-3.60060529100519</v>
      </c>
      <c r="I77">
        <v>-11.147780254919301</v>
      </c>
      <c r="J77">
        <v>-0.37976859436739502</v>
      </c>
      <c r="K77" t="b">
        <v>1</v>
      </c>
      <c r="L77">
        <v>2</v>
      </c>
      <c r="M77">
        <v>55.598150033144201</v>
      </c>
    </row>
    <row r="78" spans="3:13" x14ac:dyDescent="0.25">
      <c r="C78" t="s">
        <v>17</v>
      </c>
      <c r="D78">
        <v>7</v>
      </c>
      <c r="E78">
        <v>-4</v>
      </c>
      <c r="F78">
        <v>4</v>
      </c>
      <c r="G78">
        <v>27836.094939704199</v>
      </c>
      <c r="H78">
        <v>-1.82460155449371</v>
      </c>
      <c r="I78" t="s">
        <v>13</v>
      </c>
      <c r="J78" t="s">
        <v>13</v>
      </c>
      <c r="K78" t="b">
        <v>1</v>
      </c>
      <c r="L78">
        <v>1.01831563888873</v>
      </c>
      <c r="M78">
        <v>55.598150033144201</v>
      </c>
    </row>
    <row r="79" spans="3:13" x14ac:dyDescent="0.25">
      <c r="C79" t="s">
        <v>29</v>
      </c>
      <c r="D79">
        <v>19</v>
      </c>
      <c r="E79">
        <v>4</v>
      </c>
      <c r="F79">
        <v>1.56189595479498</v>
      </c>
      <c r="G79">
        <v>27836.673775702398</v>
      </c>
      <c r="H79">
        <v>-1.2457655562757299</v>
      </c>
      <c r="I79">
        <v>17.022192966614099</v>
      </c>
      <c r="J79">
        <v>1.2579736134361701</v>
      </c>
      <c r="K79" t="b">
        <v>1</v>
      </c>
      <c r="L79">
        <v>55.598150033144201</v>
      </c>
      <c r="M79">
        <v>5.7678523136395503</v>
      </c>
    </row>
    <row r="80" spans="3:13" x14ac:dyDescent="0.25">
      <c r="C80" t="s">
        <v>65</v>
      </c>
      <c r="D80">
        <v>55</v>
      </c>
      <c r="E80">
        <v>0.65279418265353195</v>
      </c>
      <c r="F80">
        <v>0.40710768359410798</v>
      </c>
      <c r="G80">
        <v>27837.061379455601</v>
      </c>
      <c r="H80">
        <v>-0.85816180314577695</v>
      </c>
      <c r="I80">
        <v>34.425678712948397</v>
      </c>
      <c r="J80">
        <v>-2.32158259905655</v>
      </c>
      <c r="K80" t="b">
        <v>1</v>
      </c>
      <c r="L80">
        <v>2.9209006846910999</v>
      </c>
      <c r="M80">
        <v>2.50246588787798</v>
      </c>
    </row>
    <row r="81" spans="3:13" x14ac:dyDescent="0.25">
      <c r="C81" t="s">
        <v>20</v>
      </c>
      <c r="D81">
        <v>10</v>
      </c>
      <c r="E81">
        <v>4</v>
      </c>
      <c r="F81">
        <v>-4</v>
      </c>
      <c r="G81">
        <v>27837.175875409601</v>
      </c>
      <c r="H81">
        <v>-0.74366584908420896</v>
      </c>
      <c r="I81" t="s">
        <v>13</v>
      </c>
      <c r="J81" t="s">
        <v>13</v>
      </c>
      <c r="K81" t="b">
        <v>1</v>
      </c>
      <c r="L81">
        <v>55.598150033144201</v>
      </c>
      <c r="M81">
        <v>1.01831563888873</v>
      </c>
    </row>
    <row r="82" spans="3:13" x14ac:dyDescent="0.25">
      <c r="C82" t="s">
        <v>74</v>
      </c>
      <c r="D82">
        <v>64</v>
      </c>
      <c r="E82">
        <v>4</v>
      </c>
      <c r="F82">
        <v>-3.8798633274584899</v>
      </c>
      <c r="G82">
        <v>27837.586920430102</v>
      </c>
      <c r="H82">
        <v>-0.33262082861620001</v>
      </c>
      <c r="I82">
        <v>15.2956144025067</v>
      </c>
      <c r="J82">
        <v>0.12152601733337</v>
      </c>
      <c r="K82" t="b">
        <v>1</v>
      </c>
      <c r="L82">
        <v>55.598150033144201</v>
      </c>
      <c r="M82">
        <v>1.0206536477753601</v>
      </c>
    </row>
    <row r="83" spans="3:13" x14ac:dyDescent="0.25">
      <c r="C83" t="s">
        <v>24</v>
      </c>
      <c r="D83">
        <v>14</v>
      </c>
      <c r="E83">
        <v>-0.14456528986327799</v>
      </c>
      <c r="F83">
        <v>-3.86753352636218</v>
      </c>
      <c r="G83">
        <v>27837.652806883099</v>
      </c>
      <c r="H83">
        <v>-0.26673437564022601</v>
      </c>
      <c r="I83">
        <v>6.5470383288107703</v>
      </c>
      <c r="J83">
        <v>2.8475351833495002E-2</v>
      </c>
      <c r="K83" t="b">
        <v>1</v>
      </c>
      <c r="L83">
        <v>1.8653984088147799</v>
      </c>
      <c r="M83">
        <v>1.0209098795415901</v>
      </c>
    </row>
    <row r="84" spans="3:13" x14ac:dyDescent="0.25">
      <c r="C84" t="s">
        <v>26</v>
      </c>
      <c r="D84">
        <v>16</v>
      </c>
      <c r="E84">
        <v>4</v>
      </c>
      <c r="F84">
        <v>-0.22232289995688401</v>
      </c>
      <c r="G84">
        <v>27837.692059646201</v>
      </c>
      <c r="H84">
        <v>-0.22748161247363899</v>
      </c>
      <c r="I84">
        <v>25.072986503236599</v>
      </c>
      <c r="J84">
        <v>3.78646610034288E-2</v>
      </c>
      <c r="K84" t="b">
        <v>1</v>
      </c>
      <c r="L84">
        <v>55.598150033144201</v>
      </c>
      <c r="M84">
        <v>1.8006567905470301</v>
      </c>
    </row>
    <row r="85" spans="3:13" x14ac:dyDescent="0.25">
      <c r="C85" t="s">
        <v>27</v>
      </c>
      <c r="D85">
        <v>17</v>
      </c>
      <c r="E85">
        <v>4</v>
      </c>
      <c r="F85">
        <v>-4</v>
      </c>
      <c r="G85">
        <v>27837.840435635899</v>
      </c>
      <c r="H85">
        <v>-7.9105622819042806E-2</v>
      </c>
      <c r="I85">
        <v>5.1942718823663201</v>
      </c>
      <c r="J85">
        <v>-0.14453394465238201</v>
      </c>
      <c r="K85" t="b">
        <v>1</v>
      </c>
      <c r="L85">
        <v>55.598150033144201</v>
      </c>
      <c r="M85">
        <v>1.01831563888873</v>
      </c>
    </row>
    <row r="86" spans="3:13" x14ac:dyDescent="0.25">
      <c r="C86" t="s">
        <v>15</v>
      </c>
      <c r="D86">
        <v>5</v>
      </c>
      <c r="E86">
        <v>4</v>
      </c>
      <c r="F86">
        <v>0.34074778525419402</v>
      </c>
      <c r="G86">
        <v>27837.869670413002</v>
      </c>
      <c r="H86">
        <v>-4.9870845701661899E-2</v>
      </c>
      <c r="I86">
        <v>5.2197174846536596</v>
      </c>
      <c r="J86">
        <v>1.6177870405334398E-2</v>
      </c>
      <c r="K86" t="b">
        <v>1</v>
      </c>
      <c r="L86">
        <v>55.598150033144201</v>
      </c>
      <c r="M86">
        <v>2.4059985825639201</v>
      </c>
    </row>
    <row r="87" spans="3:13" x14ac:dyDescent="0.25">
      <c r="C87" t="s">
        <v>25</v>
      </c>
      <c r="D87">
        <v>15</v>
      </c>
      <c r="E87">
        <v>1.5961730582969699E-3</v>
      </c>
      <c r="F87">
        <v>-4</v>
      </c>
      <c r="G87">
        <v>27837.884446234501</v>
      </c>
      <c r="H87">
        <v>-3.5095024184556699E-2</v>
      </c>
      <c r="I87" t="s">
        <v>13</v>
      </c>
      <c r="J87" t="s">
        <v>13</v>
      </c>
      <c r="K87" t="b">
        <v>1</v>
      </c>
      <c r="L87">
        <v>2.00159744762056</v>
      </c>
      <c r="M87">
        <v>1.01831563888873</v>
      </c>
    </row>
    <row r="88" spans="3:13" x14ac:dyDescent="0.25">
      <c r="C88" t="s">
        <v>16</v>
      </c>
      <c r="D88">
        <v>6</v>
      </c>
      <c r="E88">
        <v>7.9716827209438505E-3</v>
      </c>
      <c r="F88">
        <v>-3.9055266718993203E-2</v>
      </c>
      <c r="G88">
        <v>27837.919366387501</v>
      </c>
      <c r="H88">
        <v>-1.7487117293058001E-4</v>
      </c>
      <c r="I88">
        <v>3.18238367159941</v>
      </c>
      <c r="J88">
        <v>-2.7955010301994299E-4</v>
      </c>
      <c r="K88" t="b">
        <v>1</v>
      </c>
      <c r="L88">
        <v>2.0080035411825601</v>
      </c>
      <c r="M88">
        <v>1.9616975578089499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027A-2CF8-4FAC-8BE0-7210AE88FF81}">
  <dimension ref="A1:D87"/>
  <sheetViews>
    <sheetView workbookViewId="0">
      <selection activeCell="S83" sqref="S83"/>
    </sheetView>
  </sheetViews>
  <sheetFormatPr defaultRowHeight="15" x14ac:dyDescent="0.25"/>
  <sheetData>
    <row r="1" spans="1:4" x14ac:dyDescent="0.25">
      <c r="A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10</v>
      </c>
      <c r="C2">
        <v>0</v>
      </c>
      <c r="D2">
        <v>2.1316823840607002</v>
      </c>
    </row>
    <row r="3" spans="1:4" x14ac:dyDescent="0.25">
      <c r="A3">
        <v>2</v>
      </c>
      <c r="B3" t="s">
        <v>11</v>
      </c>
      <c r="C3">
        <v>0</v>
      </c>
      <c r="D3">
        <v>1.76474875843269</v>
      </c>
    </row>
    <row r="4" spans="1:4" x14ac:dyDescent="0.25">
      <c r="A4">
        <v>3</v>
      </c>
      <c r="B4" t="s">
        <v>12</v>
      </c>
      <c r="C4">
        <v>0</v>
      </c>
      <c r="D4">
        <v>-4.5</v>
      </c>
    </row>
    <row r="5" spans="1:4" x14ac:dyDescent="0.25">
      <c r="A5">
        <v>4</v>
      </c>
      <c r="B5" t="s">
        <v>14</v>
      </c>
      <c r="C5">
        <v>0</v>
      </c>
      <c r="D5">
        <v>-4.5</v>
      </c>
    </row>
    <row r="6" spans="1:4" x14ac:dyDescent="0.25">
      <c r="A6">
        <v>5</v>
      </c>
      <c r="B6" t="s">
        <v>15</v>
      </c>
      <c r="C6">
        <v>1.74231954588322E-2</v>
      </c>
      <c r="D6">
        <v>8.7616728706052499E-2</v>
      </c>
    </row>
    <row r="7" spans="1:4" x14ac:dyDescent="0.25">
      <c r="A7">
        <v>6</v>
      </c>
      <c r="B7" t="s">
        <v>16</v>
      </c>
      <c r="C7">
        <v>2.6937232178170201E-4</v>
      </c>
      <c r="D7">
        <v>-9.0797293523792195E-3</v>
      </c>
    </row>
    <row r="8" spans="1:4" x14ac:dyDescent="0.25">
      <c r="A8">
        <v>7</v>
      </c>
      <c r="B8" t="s">
        <v>17</v>
      </c>
      <c r="C8">
        <v>2.6533598429523398E-4</v>
      </c>
      <c r="D8">
        <v>0.77840044468757696</v>
      </c>
    </row>
    <row r="9" spans="1:4" x14ac:dyDescent="0.25">
      <c r="A9">
        <v>8</v>
      </c>
      <c r="B9" t="s">
        <v>18</v>
      </c>
      <c r="C9">
        <v>1.5805399188324699E-3</v>
      </c>
      <c r="D9">
        <v>4.5</v>
      </c>
    </row>
    <row r="10" spans="1:4" x14ac:dyDescent="0.25">
      <c r="A10">
        <v>9</v>
      </c>
      <c r="B10" t="s">
        <v>19</v>
      </c>
      <c r="C10">
        <v>1.9161052478011701E-2</v>
      </c>
      <c r="D10">
        <v>-3.4312966254219601</v>
      </c>
    </row>
    <row r="11" spans="1:4" x14ac:dyDescent="0.25">
      <c r="A11">
        <v>10</v>
      </c>
      <c r="B11" t="s">
        <v>20</v>
      </c>
      <c r="C11">
        <v>3.4247077564941702E-3</v>
      </c>
      <c r="D11">
        <v>-0.64950734849844605</v>
      </c>
    </row>
    <row r="12" spans="1:4" x14ac:dyDescent="0.25">
      <c r="A12">
        <v>11</v>
      </c>
      <c r="B12" t="s">
        <v>21</v>
      </c>
      <c r="C12">
        <v>2.18217970588903</v>
      </c>
      <c r="D12">
        <v>-4.5</v>
      </c>
    </row>
    <row r="13" spans="1:4" x14ac:dyDescent="0.25">
      <c r="A13">
        <v>12</v>
      </c>
      <c r="B13" t="s">
        <v>22</v>
      </c>
      <c r="C13">
        <v>4.5</v>
      </c>
      <c r="D13">
        <v>4.5</v>
      </c>
    </row>
    <row r="14" spans="1:4" x14ac:dyDescent="0.25">
      <c r="A14">
        <v>13</v>
      </c>
      <c r="B14" t="s">
        <v>23</v>
      </c>
      <c r="C14">
        <v>-1.8466385881933601E-2</v>
      </c>
      <c r="D14">
        <v>4.5</v>
      </c>
    </row>
    <row r="15" spans="1:4" x14ac:dyDescent="0.25">
      <c r="A15">
        <v>14</v>
      </c>
      <c r="B15" t="s">
        <v>24</v>
      </c>
      <c r="C15">
        <v>9.3006783572491293E-3</v>
      </c>
      <c r="D15">
        <v>-0.31950872835295702</v>
      </c>
    </row>
    <row r="16" spans="1:4" x14ac:dyDescent="0.25">
      <c r="A16">
        <v>15</v>
      </c>
      <c r="B16" t="s">
        <v>25</v>
      </c>
      <c r="C16" s="1">
        <v>9.5036739367060404E-5</v>
      </c>
      <c r="D16">
        <v>-2.7572550607146699E-2</v>
      </c>
    </row>
    <row r="17" spans="1:4" x14ac:dyDescent="0.25">
      <c r="A17">
        <v>16</v>
      </c>
      <c r="B17" t="s">
        <v>26</v>
      </c>
      <c r="C17">
        <v>0.10145861597266</v>
      </c>
      <c r="D17">
        <v>-0.37809538298461098</v>
      </c>
    </row>
    <row r="18" spans="1:4" x14ac:dyDescent="0.25">
      <c r="A18">
        <v>17</v>
      </c>
      <c r="B18" t="s">
        <v>27</v>
      </c>
      <c r="C18">
        <v>2.6104589778697101E-3</v>
      </c>
      <c r="D18">
        <v>-8.6055186329758698E-2</v>
      </c>
    </row>
    <row r="19" spans="1:4" x14ac:dyDescent="0.25">
      <c r="A19">
        <v>18</v>
      </c>
      <c r="B19" t="s">
        <v>28</v>
      </c>
      <c r="C19">
        <v>2.8250278736354302</v>
      </c>
      <c r="D19">
        <v>2.8305360071847101</v>
      </c>
    </row>
    <row r="20" spans="1:4" x14ac:dyDescent="0.25">
      <c r="A20">
        <v>19</v>
      </c>
      <c r="B20" t="s">
        <v>29</v>
      </c>
      <c r="C20">
        <v>0.26208013332507102</v>
      </c>
      <c r="D20">
        <v>0.38774218592152498</v>
      </c>
    </row>
    <row r="21" spans="1:4" x14ac:dyDescent="0.25">
      <c r="A21">
        <v>20</v>
      </c>
      <c r="B21" t="s">
        <v>30</v>
      </c>
      <c r="C21">
        <v>3.2782740527181899</v>
      </c>
      <c r="D21">
        <v>3.1179677662294099</v>
      </c>
    </row>
    <row r="22" spans="1:4" x14ac:dyDescent="0.25">
      <c r="A22">
        <v>21</v>
      </c>
      <c r="B22" t="s">
        <v>31</v>
      </c>
      <c r="C22">
        <v>-4.5</v>
      </c>
      <c r="D22">
        <v>4.5</v>
      </c>
    </row>
    <row r="23" spans="1:4" x14ac:dyDescent="0.25">
      <c r="A23">
        <v>22</v>
      </c>
      <c r="B23" t="s">
        <v>32</v>
      </c>
      <c r="C23">
        <v>-4.5</v>
      </c>
      <c r="D23">
        <v>-4.5</v>
      </c>
    </row>
    <row r="24" spans="1:4" x14ac:dyDescent="0.25">
      <c r="A24">
        <v>23</v>
      </c>
      <c r="B24" t="s">
        <v>33</v>
      </c>
      <c r="C24">
        <v>-4.5</v>
      </c>
      <c r="D24">
        <v>4.5</v>
      </c>
    </row>
    <row r="25" spans="1:4" x14ac:dyDescent="0.25">
      <c r="A25">
        <v>24</v>
      </c>
      <c r="B25" t="s">
        <v>34</v>
      </c>
      <c r="C25">
        <v>4.5</v>
      </c>
      <c r="D25">
        <v>4.5</v>
      </c>
    </row>
    <row r="26" spans="1:4" x14ac:dyDescent="0.25">
      <c r="A26">
        <v>25</v>
      </c>
      <c r="B26" t="s">
        <v>35</v>
      </c>
      <c r="C26">
        <v>-4.5</v>
      </c>
      <c r="D26">
        <v>4.5</v>
      </c>
    </row>
    <row r="27" spans="1:4" x14ac:dyDescent="0.25">
      <c r="A27">
        <v>26</v>
      </c>
      <c r="B27" t="s">
        <v>36</v>
      </c>
      <c r="C27">
        <v>4.5</v>
      </c>
      <c r="D27">
        <v>1.90291052381633</v>
      </c>
    </row>
    <row r="28" spans="1:4" x14ac:dyDescent="0.25">
      <c r="A28">
        <v>27</v>
      </c>
      <c r="B28" t="s">
        <v>37</v>
      </c>
      <c r="C28">
        <v>-4.5</v>
      </c>
      <c r="D28">
        <v>-4.5</v>
      </c>
    </row>
    <row r="29" spans="1:4" x14ac:dyDescent="0.25">
      <c r="A29">
        <v>28</v>
      </c>
      <c r="B29" t="s">
        <v>38</v>
      </c>
      <c r="C29">
        <v>0</v>
      </c>
      <c r="D29">
        <v>4.5</v>
      </c>
    </row>
    <row r="30" spans="1:4" x14ac:dyDescent="0.25">
      <c r="A30">
        <v>29</v>
      </c>
      <c r="B30" t="s">
        <v>39</v>
      </c>
      <c r="C30">
        <v>-0.213508384547417</v>
      </c>
      <c r="D30">
        <v>0.56167147979017296</v>
      </c>
    </row>
    <row r="31" spans="1:4" x14ac:dyDescent="0.25">
      <c r="A31">
        <v>30</v>
      </c>
      <c r="B31" t="s">
        <v>40</v>
      </c>
      <c r="C31">
        <v>-4.5</v>
      </c>
      <c r="D31">
        <v>-4.5</v>
      </c>
    </row>
    <row r="32" spans="1:4" x14ac:dyDescent="0.25">
      <c r="A32">
        <v>31</v>
      </c>
      <c r="B32" t="s">
        <v>41</v>
      </c>
      <c r="C32">
        <v>1.4114735514872601</v>
      </c>
      <c r="D32">
        <v>-1.4114735514872601</v>
      </c>
    </row>
    <row r="33" spans="1:4" x14ac:dyDescent="0.25">
      <c r="A33">
        <v>32</v>
      </c>
      <c r="B33" t="s">
        <v>42</v>
      </c>
      <c r="C33">
        <v>-1.12631424400998</v>
      </c>
      <c r="D33">
        <v>-4.5</v>
      </c>
    </row>
    <row r="34" spans="1:4" x14ac:dyDescent="0.25">
      <c r="A34">
        <v>33</v>
      </c>
      <c r="B34" t="s">
        <v>43</v>
      </c>
      <c r="C34">
        <v>4.5</v>
      </c>
      <c r="D34">
        <v>4.5</v>
      </c>
    </row>
    <row r="35" spans="1:4" x14ac:dyDescent="0.25">
      <c r="A35">
        <v>34</v>
      </c>
      <c r="B35" t="s">
        <v>44</v>
      </c>
      <c r="C35">
        <v>4.5</v>
      </c>
      <c r="D35">
        <v>2.0363470015288798</v>
      </c>
    </row>
    <row r="36" spans="1:4" x14ac:dyDescent="0.25">
      <c r="A36">
        <v>35</v>
      </c>
      <c r="B36" t="s">
        <v>45</v>
      </c>
      <c r="C36">
        <v>-4.5</v>
      </c>
      <c r="D36">
        <v>4.5</v>
      </c>
    </row>
    <row r="37" spans="1:4" x14ac:dyDescent="0.25">
      <c r="A37">
        <v>36</v>
      </c>
      <c r="B37" t="s">
        <v>46</v>
      </c>
      <c r="C37">
        <v>4.5</v>
      </c>
      <c r="D37">
        <v>4.5</v>
      </c>
    </row>
    <row r="38" spans="1:4" x14ac:dyDescent="0.25">
      <c r="A38">
        <v>37</v>
      </c>
      <c r="B38" t="s">
        <v>47</v>
      </c>
      <c r="C38">
        <v>2.9641226901380899</v>
      </c>
      <c r="D38">
        <v>-4.5</v>
      </c>
    </row>
    <row r="39" spans="1:4" x14ac:dyDescent="0.25">
      <c r="A39">
        <v>38</v>
      </c>
      <c r="B39" t="s">
        <v>48</v>
      </c>
      <c r="C39">
        <v>-0.38771918661950999</v>
      </c>
      <c r="D39">
        <v>-4.5</v>
      </c>
    </row>
    <row r="40" spans="1:4" x14ac:dyDescent="0.25">
      <c r="A40">
        <v>39</v>
      </c>
      <c r="B40" t="s">
        <v>49</v>
      </c>
      <c r="C40">
        <v>-4.5</v>
      </c>
      <c r="D40">
        <v>-4.5</v>
      </c>
    </row>
    <row r="41" spans="1:4" x14ac:dyDescent="0.25">
      <c r="A41">
        <v>40</v>
      </c>
      <c r="B41" t="s">
        <v>50</v>
      </c>
      <c r="C41">
        <v>-4.5</v>
      </c>
      <c r="D41">
        <v>6.6786955358104097E-2</v>
      </c>
    </row>
    <row r="42" spans="1:4" x14ac:dyDescent="0.25">
      <c r="A42">
        <v>41</v>
      </c>
      <c r="B42" t="s">
        <v>51</v>
      </c>
      <c r="C42">
        <v>-4.5</v>
      </c>
      <c r="D42">
        <v>4.5</v>
      </c>
    </row>
    <row r="43" spans="1:4" x14ac:dyDescent="0.25">
      <c r="A43">
        <v>42</v>
      </c>
      <c r="B43" t="s">
        <v>52</v>
      </c>
      <c r="C43">
        <v>-4.5</v>
      </c>
      <c r="D43">
        <v>-4.5</v>
      </c>
    </row>
    <row r="44" spans="1:4" x14ac:dyDescent="0.25">
      <c r="A44">
        <v>43</v>
      </c>
      <c r="B44" t="s">
        <v>53</v>
      </c>
      <c r="C44">
        <v>0.113389327689283</v>
      </c>
      <c r="D44">
        <v>-4.5</v>
      </c>
    </row>
    <row r="45" spans="1:4" x14ac:dyDescent="0.25">
      <c r="A45">
        <v>44</v>
      </c>
      <c r="B45" t="s">
        <v>54</v>
      </c>
      <c r="C45">
        <v>-1.2877033386757799</v>
      </c>
      <c r="D45">
        <v>-4.5</v>
      </c>
    </row>
    <row r="46" spans="1:4" x14ac:dyDescent="0.25">
      <c r="A46">
        <v>45</v>
      </c>
      <c r="B46" t="s">
        <v>55</v>
      </c>
      <c r="C46">
        <v>-4.5</v>
      </c>
      <c r="D46">
        <v>-4.5</v>
      </c>
    </row>
    <row r="47" spans="1:4" x14ac:dyDescent="0.25">
      <c r="A47">
        <v>46</v>
      </c>
      <c r="B47" t="s">
        <v>56</v>
      </c>
      <c r="C47">
        <v>-9.3555445346347799E-2</v>
      </c>
      <c r="D47">
        <v>4.5</v>
      </c>
    </row>
    <row r="48" spans="1:4" x14ac:dyDescent="0.25">
      <c r="A48">
        <v>47</v>
      </c>
      <c r="B48" t="s">
        <v>57</v>
      </c>
      <c r="C48">
        <v>-0.52318985803103102</v>
      </c>
      <c r="D48">
        <v>-4.5</v>
      </c>
    </row>
    <row r="49" spans="1:4" x14ac:dyDescent="0.25">
      <c r="A49">
        <v>48</v>
      </c>
      <c r="B49" t="s">
        <v>58</v>
      </c>
      <c r="C49">
        <v>1.5640412221759901</v>
      </c>
      <c r="D49">
        <v>-4.5</v>
      </c>
    </row>
    <row r="50" spans="1:4" x14ac:dyDescent="0.25">
      <c r="A50">
        <v>49</v>
      </c>
      <c r="B50" t="s">
        <v>59</v>
      </c>
      <c r="C50">
        <v>4.5</v>
      </c>
      <c r="D50">
        <v>-4.5</v>
      </c>
    </row>
    <row r="51" spans="1:4" x14ac:dyDescent="0.25">
      <c r="A51">
        <v>50</v>
      </c>
      <c r="B51" t="s">
        <v>60</v>
      </c>
      <c r="C51">
        <v>1.47889052095706</v>
      </c>
      <c r="D51">
        <v>-4.5</v>
      </c>
    </row>
    <row r="52" spans="1:4" x14ac:dyDescent="0.25">
      <c r="A52">
        <v>51</v>
      </c>
      <c r="B52" t="s">
        <v>61</v>
      </c>
      <c r="C52">
        <v>-4.5</v>
      </c>
      <c r="D52">
        <v>-4.5</v>
      </c>
    </row>
    <row r="53" spans="1:4" x14ac:dyDescent="0.25">
      <c r="A53">
        <v>52</v>
      </c>
      <c r="B53" t="s">
        <v>62</v>
      </c>
      <c r="C53">
        <v>-4.5</v>
      </c>
      <c r="D53">
        <v>-4.5</v>
      </c>
    </row>
    <row r="54" spans="1:4" x14ac:dyDescent="0.25">
      <c r="A54">
        <v>53</v>
      </c>
      <c r="B54" t="s">
        <v>63</v>
      </c>
      <c r="C54">
        <v>-4.5</v>
      </c>
      <c r="D54">
        <v>4.5</v>
      </c>
    </row>
    <row r="55" spans="1:4" x14ac:dyDescent="0.25">
      <c r="A55">
        <v>54</v>
      </c>
      <c r="B55" t="s">
        <v>64</v>
      </c>
      <c r="C55">
        <v>4.5</v>
      </c>
      <c r="D55">
        <v>4.5</v>
      </c>
    </row>
    <row r="56" spans="1:4" x14ac:dyDescent="0.25">
      <c r="A56">
        <v>55</v>
      </c>
      <c r="B56" t="s">
        <v>65</v>
      </c>
      <c r="C56">
        <v>0.118200044138561</v>
      </c>
      <c r="D56">
        <v>0.33890529759279497</v>
      </c>
    </row>
    <row r="57" spans="1:4" x14ac:dyDescent="0.25">
      <c r="A57">
        <v>56</v>
      </c>
      <c r="B57" t="s">
        <v>66</v>
      </c>
      <c r="C57">
        <v>-4.5</v>
      </c>
      <c r="D57">
        <v>-4.5</v>
      </c>
    </row>
    <row r="58" spans="1:4" x14ac:dyDescent="0.25">
      <c r="A58">
        <v>57</v>
      </c>
      <c r="B58" t="s">
        <v>67</v>
      </c>
      <c r="C58">
        <v>-9.1735628301377103E-2</v>
      </c>
      <c r="D58">
        <v>-4.5</v>
      </c>
    </row>
    <row r="59" spans="1:4" x14ac:dyDescent="0.25">
      <c r="A59">
        <v>58</v>
      </c>
      <c r="B59" t="s">
        <v>68</v>
      </c>
      <c r="C59">
        <v>-4.5</v>
      </c>
      <c r="D59">
        <v>-4.5</v>
      </c>
    </row>
    <row r="60" spans="1:4" x14ac:dyDescent="0.25">
      <c r="A60">
        <v>59</v>
      </c>
      <c r="B60" t="s">
        <v>69</v>
      </c>
      <c r="C60">
        <v>-4.5</v>
      </c>
      <c r="D60">
        <v>4.5</v>
      </c>
    </row>
    <row r="61" spans="1:4" x14ac:dyDescent="0.25">
      <c r="A61">
        <v>60</v>
      </c>
      <c r="B61" t="s">
        <v>70</v>
      </c>
      <c r="C61">
        <v>-4.5</v>
      </c>
      <c r="D61">
        <v>4.5</v>
      </c>
    </row>
    <row r="62" spans="1:4" x14ac:dyDescent="0.25">
      <c r="A62">
        <v>61</v>
      </c>
      <c r="B62" t="s">
        <v>71</v>
      </c>
      <c r="C62">
        <v>-4.5</v>
      </c>
      <c r="D62">
        <v>-4.5</v>
      </c>
    </row>
    <row r="63" spans="1:4" x14ac:dyDescent="0.25">
      <c r="A63">
        <v>62</v>
      </c>
      <c r="B63" t="s">
        <v>72</v>
      </c>
      <c r="C63">
        <v>-4.5</v>
      </c>
      <c r="D63">
        <v>4.5</v>
      </c>
    </row>
    <row r="64" spans="1:4" x14ac:dyDescent="0.25">
      <c r="A64">
        <v>63</v>
      </c>
      <c r="B64" t="s">
        <v>73</v>
      </c>
      <c r="C64">
        <v>-4.5</v>
      </c>
      <c r="D64">
        <v>-4.5</v>
      </c>
    </row>
    <row r="65" spans="1:4" x14ac:dyDescent="0.25">
      <c r="A65">
        <v>64</v>
      </c>
      <c r="B65" t="s">
        <v>74</v>
      </c>
      <c r="C65">
        <v>8.2808202932938002E-2</v>
      </c>
      <c r="D65">
        <v>-0.30911693465896001</v>
      </c>
    </row>
    <row r="66" spans="1:4" x14ac:dyDescent="0.25">
      <c r="A66">
        <v>65</v>
      </c>
      <c r="B66" t="s">
        <v>75</v>
      </c>
      <c r="C66">
        <v>-4.5</v>
      </c>
      <c r="D66">
        <v>-4.5</v>
      </c>
    </row>
    <row r="67" spans="1:4" x14ac:dyDescent="0.25">
      <c r="A67">
        <v>66</v>
      </c>
      <c r="B67" t="s">
        <v>76</v>
      </c>
      <c r="C67">
        <v>-4.5</v>
      </c>
      <c r="D67">
        <v>2.7398472436520498</v>
      </c>
    </row>
    <row r="68" spans="1:4" x14ac:dyDescent="0.25">
      <c r="A68">
        <v>67</v>
      </c>
      <c r="B68" t="s">
        <v>77</v>
      </c>
      <c r="C68">
        <v>-4.5</v>
      </c>
      <c r="D68">
        <v>4.5</v>
      </c>
    </row>
    <row r="69" spans="1:4" x14ac:dyDescent="0.25">
      <c r="A69">
        <v>68</v>
      </c>
      <c r="B69" t="s">
        <v>78</v>
      </c>
      <c r="C69">
        <v>-4.5</v>
      </c>
      <c r="D69">
        <v>-4.5</v>
      </c>
    </row>
    <row r="70" spans="1:4" x14ac:dyDescent="0.25">
      <c r="A70">
        <v>69</v>
      </c>
      <c r="B70" t="s">
        <v>79</v>
      </c>
      <c r="C70">
        <v>-4.5</v>
      </c>
      <c r="D70">
        <v>-0.39761093285050397</v>
      </c>
    </row>
    <row r="71" spans="1:4" x14ac:dyDescent="0.25">
      <c r="A71">
        <v>70</v>
      </c>
      <c r="B71" t="s">
        <v>80</v>
      </c>
      <c r="C71">
        <v>-4.5</v>
      </c>
      <c r="D71">
        <v>-4.5</v>
      </c>
    </row>
    <row r="72" spans="1:4" x14ac:dyDescent="0.25">
      <c r="A72">
        <v>71</v>
      </c>
      <c r="B72" t="s">
        <v>81</v>
      </c>
      <c r="C72">
        <v>-3.0013724609179899</v>
      </c>
      <c r="D72">
        <v>2.2372593276427901</v>
      </c>
    </row>
    <row r="73" spans="1:4" x14ac:dyDescent="0.25">
      <c r="A73">
        <v>72</v>
      </c>
      <c r="B73" t="s">
        <v>82</v>
      </c>
      <c r="C73">
        <v>-4.5</v>
      </c>
      <c r="D73">
        <v>-4.5</v>
      </c>
    </row>
    <row r="74" spans="1:4" x14ac:dyDescent="0.25">
      <c r="A74">
        <v>73</v>
      </c>
      <c r="B74" t="s">
        <v>83</v>
      </c>
      <c r="C74">
        <v>-4.5</v>
      </c>
      <c r="D74">
        <v>-4.5</v>
      </c>
    </row>
    <row r="75" spans="1:4" x14ac:dyDescent="0.25">
      <c r="A75">
        <v>74</v>
      </c>
      <c r="B75" t="s">
        <v>84</v>
      </c>
      <c r="C75">
        <v>4.5</v>
      </c>
      <c r="D75">
        <v>4.5</v>
      </c>
    </row>
    <row r="76" spans="1:4" x14ac:dyDescent="0.25">
      <c r="A76">
        <v>75</v>
      </c>
      <c r="B76" t="s">
        <v>85</v>
      </c>
      <c r="C76">
        <v>-4.5</v>
      </c>
      <c r="D76">
        <v>-4.5</v>
      </c>
    </row>
    <row r="77" spans="1:4" x14ac:dyDescent="0.25">
      <c r="A77">
        <v>76</v>
      </c>
      <c r="B77" t="s">
        <v>86</v>
      </c>
      <c r="C77">
        <v>-4.5</v>
      </c>
      <c r="D77">
        <v>4.5</v>
      </c>
    </row>
    <row r="78" spans="1:4" x14ac:dyDescent="0.25">
      <c r="A78">
        <v>77</v>
      </c>
      <c r="B78" t="s">
        <v>87</v>
      </c>
      <c r="C78">
        <v>-4.5</v>
      </c>
      <c r="D78">
        <v>0.41270875319872902</v>
      </c>
    </row>
    <row r="79" spans="1:4" x14ac:dyDescent="0.25">
      <c r="A79">
        <v>78</v>
      </c>
      <c r="B79" t="s">
        <v>88</v>
      </c>
      <c r="C79">
        <v>-4.5</v>
      </c>
      <c r="D79">
        <v>4.5</v>
      </c>
    </row>
    <row r="80" spans="1:4" x14ac:dyDescent="0.25">
      <c r="A80">
        <v>79</v>
      </c>
      <c r="B80" t="s">
        <v>89</v>
      </c>
      <c r="C80">
        <v>-4.5</v>
      </c>
      <c r="D80">
        <v>4.5</v>
      </c>
    </row>
    <row r="81" spans="1:4" x14ac:dyDescent="0.25">
      <c r="A81">
        <v>80</v>
      </c>
      <c r="B81" t="s">
        <v>90</v>
      </c>
      <c r="C81">
        <v>4.5</v>
      </c>
      <c r="D81">
        <v>-4.5</v>
      </c>
    </row>
    <row r="82" spans="1:4" x14ac:dyDescent="0.25">
      <c r="A82">
        <v>81</v>
      </c>
      <c r="B82" t="s">
        <v>91</v>
      </c>
      <c r="C82">
        <v>4.5</v>
      </c>
      <c r="D82">
        <v>-4.5</v>
      </c>
    </row>
    <row r="83" spans="1:4" x14ac:dyDescent="0.25">
      <c r="A83">
        <v>82</v>
      </c>
      <c r="B83" t="s">
        <v>92</v>
      </c>
      <c r="C83">
        <v>-1.7646920241531899E-2</v>
      </c>
      <c r="D83">
        <v>-2.8000321653962601</v>
      </c>
    </row>
    <row r="84" spans="1:4" x14ac:dyDescent="0.25">
      <c r="A84">
        <v>83</v>
      </c>
      <c r="B84" t="s">
        <v>93</v>
      </c>
      <c r="C84">
        <v>-4.5</v>
      </c>
      <c r="D84">
        <v>4.5</v>
      </c>
    </row>
    <row r="85" spans="1:4" x14ac:dyDescent="0.25">
      <c r="A85">
        <v>84</v>
      </c>
      <c r="B85" t="s">
        <v>94</v>
      </c>
      <c r="C85">
        <v>-4.1091421535384098</v>
      </c>
      <c r="D85">
        <v>0</v>
      </c>
    </row>
    <row r="86" spans="1:4" x14ac:dyDescent="0.25">
      <c r="A86">
        <v>85</v>
      </c>
      <c r="B86" t="s">
        <v>95</v>
      </c>
      <c r="C86">
        <v>-4.5</v>
      </c>
      <c r="D86">
        <v>0</v>
      </c>
    </row>
    <row r="87" spans="1:4" x14ac:dyDescent="0.25">
      <c r="A87">
        <v>86</v>
      </c>
      <c r="B87" t="s">
        <v>96</v>
      </c>
      <c r="C87">
        <v>-4.5</v>
      </c>
      <c r="D8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WGOA_vv_loop_initial_notes</vt:lpstr>
      <vt:lpstr>sorted_dnll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Bridget.Ferriss</dc:creator>
  <cp:lastModifiedBy>Bia Dias</cp:lastModifiedBy>
  <dcterms:created xsi:type="dcterms:W3CDTF">2025-09-03T21:59:18Z</dcterms:created>
  <dcterms:modified xsi:type="dcterms:W3CDTF">2026-01-13T23:27:04Z</dcterms:modified>
</cp:coreProperties>
</file>